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ato descripción HU" sheetId="1" r:id="rId4"/>
    <sheet state="visible" name="Historia de Usuario" sheetId="2" r:id="rId5"/>
  </sheets>
  <definedNames/>
  <calcPr/>
</workbook>
</file>

<file path=xl/sharedStrings.xml><?xml version="1.0" encoding="utf-8"?>
<sst xmlns="http://schemas.openxmlformats.org/spreadsheetml/2006/main" count="193" uniqueCount="144">
  <si>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</si>
  <si>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</si>
  <si>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</si>
  <si>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</si>
  <si>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</si>
  <si>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</si>
  <si>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</si>
  <si>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</si>
  <si>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</si>
  <si>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</si>
  <si>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</si>
  <si>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</si>
  <si>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</si>
  <si>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</si>
  <si>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</si>
  <si>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RF01</t>
  </si>
  <si>
    <t>Los usuarios no tienen un mecanismo seguro para ingresar al sistema y diferenciar sus roles.</t>
  </si>
  <si>
    <t>Implementar autenticación basada en credenciales según el tipo de usuario.</t>
  </si>
  <si>
    <t>Permitir el acceso seguro, evitar suplantación y dirigir a cada rol al módulo correspondiente.</t>
  </si>
  <si>
    <t>Jefe de Ticketera, Contadora, Staff.</t>
  </si>
  <si>
    <t>El sistema presenta un formulario donde el usuario ingresa sus credenciales; valida la información según su rol, crea una sesión segura y lo redirige a la interfaz que le corresponde, garantizando acceso solo a las funciones permitidas.</t>
  </si>
  <si>
    <t>David Moran</t>
  </si>
  <si>
    <t>6h</t>
  </si>
  <si>
    <t>Alta</t>
  </si>
  <si>
    <t>Terminado</t>
  </si>
  <si>
    <t>Caja negra: probar login válido/ inválido y revisar que el sistema dirija al módulo correcto.</t>
  </si>
  <si>
    <t>Asegura acceso seguro y control por rol, tal como exige el documento base.</t>
  </si>
  <si>
    <t>Acceder al Sistema</t>
  </si>
  <si>
    <t>RF02</t>
  </si>
  <si>
    <t>No existe un registro oficial del personal dentro del sistema para validar comprobantes posteriormente.</t>
  </si>
  <si>
    <t>Cargar el archivo Excel que contiene cédulas, nombres, correos y montos asignados al staff del evento.</t>
  </si>
  <si>
    <t>Contar con información autorizada que se usará para cruces de validación y evitar errores o fraude.</t>
  </si>
  <si>
    <t>Jefe de Ticketera.</t>
  </si>
  <si>
    <t>El usuario selecciona el archivo Excel del evento; el sistema verifica que el formato sea válido y que contenga las columnas necesarias (cédula, nombre, correo y montos). Después de validar la estructura, procesa cada registro y lo guarda en la base de datos como información oficial del staff para ese evento.</t>
  </si>
  <si>
    <t>5h</t>
  </si>
  <si>
    <t>Caja negra: subir un Excel correcto y uno corrupto para comprobar validación.</t>
  </si>
  <si>
    <t>Necesario para garantizar datos oficiales.</t>
  </si>
  <si>
    <t>Importar Archivo del Staff</t>
  </si>
  <si>
    <t>RF03</t>
  </si>
  <si>
    <t>La organización no mantiene un registro digital de los comprobantes presentados por el personal.</t>
  </si>
  <si>
    <t>Permitir que el usuario ingrese manualmente los datos del comprobante.</t>
  </si>
  <si>
    <t>Crear un registro digital estructurado que pueda ser validado por el sistema y por contabilidad.</t>
  </si>
  <si>
    <t>Staff</t>
  </si>
  <si>
    <t>El usuario llena un formulario con número, fecha, proveedor, monto y descripción; el sistema valida campos y guarda el comprobante.</t>
  </si>
  <si>
    <t>Registrar factura con datos correctos/incorrectos y verificar respuesta. Criterio: campos obligatorios.</t>
  </si>
  <si>
    <t>Sin este registro no existe flujo de validación posterior.</t>
  </si>
  <si>
    <t>Registro de Comprobante Digital</t>
  </si>
  <si>
    <t>RF04</t>
  </si>
  <si>
    <t>Sin evidencia visual de la factura, la validación es incompleta o poco confiable.</t>
  </si>
  <si>
    <t>Permitir subir la imagen o PDF del comprobante real.</t>
  </si>
  <si>
    <t>Validar autenticidad y guardar evidencia para auditorías posteriores.</t>
  </si>
  <si>
    <t>Staff.</t>
  </si>
  <si>
    <t>El usuario adjunta el archivo; el sistema revisa formato, peso y extensión; genera enlace de almacenamiento y relaciona el archivo al comprobante.</t>
  </si>
  <si>
    <t>4h</t>
  </si>
  <si>
    <t>Caja negra: subir archivo permitido/no permitido. Caja gris: validar nombre/estructura del archivo.</t>
  </si>
  <si>
    <t>El documento digital respalda todo el proceso contable.</t>
  </si>
  <si>
    <t>Cargar Documento de Comprobante</t>
  </si>
  <si>
    <t>RF05</t>
  </si>
  <si>
    <t>Una factura podría ser ingresada por un trabajador al que no pertenece.</t>
  </si>
  <si>
    <t>Comparar datos de la factura con los datos oficiales importados del Excel.</t>
  </si>
  <si>
    <t>Asegurar que el gasto registrado corresponde al trabajador correcto.</t>
  </si>
  <si>
    <t>Jefe de Ticketera, Contadora.</t>
  </si>
  <si>
    <t>El sistema verifica coincidencia de nombre, cédula, monto asignado y otros parámetros claves del Excel.</t>
  </si>
  <si>
    <t>Caja negra: factura válida vs factura con datos distintos al Excel. Criterio: coincidencia de campos críticos.</t>
  </si>
  <si>
    <t>Validación primaria del sistema.</t>
  </si>
  <si>
    <t>Verificación Contra Datos Oficiales</t>
  </si>
  <si>
    <t>RF06</t>
  </si>
  <si>
    <t>El usuario podría escribir datos erróneos o manipulados en el formulario.</t>
  </si>
  <si>
    <t>Asegurar que los datos digitados coinciden con el documento subido.</t>
  </si>
  <si>
    <t>Evitar inconsistencias y detección temprana de manipulación o fraude.</t>
  </si>
  <si>
    <t>Jefe Ticketera, Contadora.</t>
  </si>
  <si>
    <t>El sistema compara los datos ingresados en el formulario como proveedor, fecha, monto y número del comprobante con la información visible en el archivo subido (imagen o PDF). Esta verificación permite detectar diferencias entre lo declarado por el usuario y el documento real.</t>
  </si>
  <si>
    <t>Caja gris: comparar datos del formulario vs OCR, o lectura de campos básicos del documento. Criterio: diferencias detectadas generan alerta.</t>
  </si>
  <si>
    <t>Segunda capa de validación</t>
  </si>
  <si>
    <t>Validación Contra Documento Real</t>
  </si>
  <si>
    <t>RF07</t>
  </si>
  <si>
    <t>El staff no puede saber si su comprobante fue aceptado o rechazado.</t>
  </si>
  <si>
    <t>Mostrar estado de validación.</t>
  </si>
  <si>
    <t>Informar el avance del proceso y evitar que el usuario pregunte manualmente.</t>
  </si>
  <si>
    <t>El sistema consulta en la base de datos el estado actualizado del comprobante y devuelve esta información a la interfaz del usuario, mostrándole si su documento está aprobado, pendiente o rechazado.</t>
  </si>
  <si>
    <t>3h</t>
  </si>
  <si>
    <t>Caja negra: cambiar estado y confirmar que se visualiza correctamente.</t>
  </si>
  <si>
    <t>Mejora experiencia del usuario.</t>
  </si>
  <si>
    <t>Consultar Estado de Comprobante</t>
  </si>
  <si>
    <t>RF08</t>
  </si>
  <si>
    <t>El trabajador desconoce si su pago ya fue procesado.</t>
  </si>
  <si>
    <t>Mostrar el estado del pago del evento.</t>
  </si>
  <si>
    <t>Transparentar el proceso de compensación.</t>
  </si>
  <si>
    <t>El sistema verifica en la base de datos si el pago asociado al evento sigue pendiente o ya fue procesado, y muestra esta información directamente en la interfaz del usuario para que pueda conocer su estado actual.</t>
  </si>
  <si>
    <t>Caja negra: simular cambios de estado y revisar visualización.</t>
  </si>
  <si>
    <t>Punto clave del proceso financiero.</t>
  </si>
  <si>
    <t>Consultar Estado del Pago</t>
  </si>
  <si>
    <t>RF09</t>
  </si>
  <si>
    <t>La contadora procesa pagos manualmente y sin control digital.</t>
  </si>
  <si>
    <t>Generar y gestionar lista de pagos pendientes.</t>
  </si>
  <si>
    <t>Procesar pagos de manera ordenada, con respaldos y trazabilidad.</t>
  </si>
  <si>
    <t>Contadora.</t>
  </si>
  <si>
    <t>El sistema muestra una lista de pagos pendientes del staff; la contadora selecciona el pago que desea procesar, adjunta el comprobante correspondiente como evidencia y, una vez verificada la información, registra el pago como “Procesado” dentro del sistema.</t>
  </si>
  <si>
    <t>Samir Mideros</t>
  </si>
  <si>
    <t>14h</t>
  </si>
  <si>
    <t>Caja negra: confirmar pago y verificar actualización en historial.</t>
  </si>
  <si>
    <t>Cierra flujo principal de remuneración.</t>
  </si>
  <si>
    <t>Procesar Pagos al Staff</t>
  </si>
  <si>
    <t>RF10</t>
  </si>
  <si>
    <t>Hay pagos que no están asociados a notas de venta.</t>
  </si>
  <si>
    <t>Registrar estos pagos dentro del sistema.</t>
  </si>
  <si>
    <t>Dejar constancia y mantener historial completo.</t>
  </si>
  <si>
    <t>La contadora selecciona al miembro del staff al que desea registrar un pago manual, ingresa el monto y el concepto correspondiente, adjunta el comprobante como evidencia y finalmente guarda la información para que el sistema cree el registro del pago.</t>
  </si>
  <si>
    <t>8h</t>
  </si>
  <si>
    <t xml:space="preserve">Media </t>
  </si>
  <si>
    <t>Caja negra: registrar pago manual y verificar inserción en historial.</t>
  </si>
  <si>
    <t>Útil para casos fuera del flujo común.</t>
  </si>
  <si>
    <t>Registrar Pago Excepcional</t>
  </si>
  <si>
    <t>RF11</t>
  </si>
  <si>
    <t>No existe un registro digital de gastos operativos para auditoría.</t>
  </si>
  <si>
    <t>Registrar egresos con comprobantes.</t>
  </si>
  <si>
    <t>Llevar control financiero organizado y verificable.</t>
  </si>
  <si>
    <t>El usuario ingresa la fecha del gasto, el monto correspondiente, una breve descripción o concepto, y selecciona el evento al que pertenece. Luego adjunta el documento de respaldo como factura o comprobante digital para garantizar la validez del registro antes de guardarlo en el sistema.</t>
  </si>
  <si>
    <t>Caja negra: registrar un gasto y verificar que aparezca inmediatamente en el historial.</t>
  </si>
  <si>
    <t>Alimenta reportes y balances.</t>
  </si>
  <si>
    <t>Registro General de Gastos</t>
  </si>
  <si>
    <t>RF12</t>
  </si>
  <si>
    <t>Sin filtros, es difícil encontrar gastos específicos o generar auditorías.</t>
  </si>
  <si>
    <t>Permitir búsqueda y filtrado de registros</t>
  </si>
  <si>
    <t>Facilitar auditorías, revisiones y análisis financieros.</t>
  </si>
  <si>
    <t>El usuario aplica filtros como fecha, evento, monto o proveedor para refinar la búsqueda de gastos registrados. Una vez seleccionados los criterios, el sistema procesa la solicitud y presenta los resultados de forma ordenada y fácil de revisar, facilitando el análisis y la auditoría.</t>
  </si>
  <si>
    <t>Caja negra: filtrar registros por un rango y validar coincidencias.</t>
  </si>
  <si>
    <t>Fundamental para control financiero.</t>
  </si>
  <si>
    <t>Historial de Gastos</t>
  </si>
  <si>
    <t>No iniciado</t>
  </si>
  <si>
    <t>En proceso</t>
  </si>
  <si>
    <t>Baja</t>
  </si>
  <si>
    <t>Atrasado</t>
  </si>
  <si>
    <t>HISTORIA DE USUARIO (HU)</t>
  </si>
  <si>
    <t>USUARIO</t>
  </si>
  <si>
    <t>RF3</t>
  </si>
  <si>
    <t>TIEMPO</t>
  </si>
  <si>
    <t>PROG. RESP</t>
  </si>
  <si>
    <t>QUE</t>
  </si>
  <si>
    <t>PARA QUE</t>
  </si>
  <si>
    <t>COMO</t>
  </si>
  <si>
    <t>º</t>
  </si>
  <si>
    <t>NOMBRE HISTORIA</t>
  </si>
  <si>
    <t>PRUEBA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</si>
</sst>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8">
    <font>
      <sz val="11.0"/>
      <color theme="1"/>
      <name val="Arial"/>
      <scheme val="minor"/>
    </font>
    <font>
      <sz val="11.0"/>
      <color theme="1"/>
      <name val="Arial Narrow"/>
    </font>
    <font>
      <b/>
      <i/>
      <sz val="16.0"/>
      <color theme="1"/>
      <name val="Arial Narrow"/>
    </font>
    <font/>
    <font>
      <b/>
      <i/>
      <sz val="11.0"/>
      <color rgb="FF9C6500"/>
      <name val="Arial Narrow"/>
    </font>
    <font>
      <sz val="10.0"/>
      <color theme="1"/>
      <name val="Arial Narrow"/>
    </font>
    <font>
      <sz val="10.0"/>
      <color rgb="FF000000"/>
      <name val="Arial Narrow"/>
    </font>
    <font>
      <sz val="10.0"/>
      <color theme="1"/>
      <name val="Arial"/>
      <scheme val="minor"/>
    </font>
    <font>
      <color theme="1"/>
      <name val="Arial"/>
      <scheme val="minor"/>
    </font>
    <font>
      <sz val="11.0"/>
      <color rgb="FF000000"/>
      <name val="Arial Narrow"/>
    </font>
    <font>
      <b/>
      <sz val="11.0"/>
      <color theme="1"/>
      <name val="Calibri"/>
    </font>
    <font>
      <sz val="11.0"/>
      <color theme="1"/>
      <name val="Calibri"/>
    </font>
    <font>
      <b/>
      <sz val="16.0"/>
      <color theme="1"/>
      <name val="Calibri"/>
    </font>
    <font>
      <sz val="11.0"/>
      <color theme="1"/>
      <name val="Arial"/>
    </font>
    <font>
      <b/>
      <sz val="11.0"/>
      <color theme="0"/>
      <name val="Calibri"/>
    </font>
    <font>
      <b/>
      <sz val="11.0"/>
      <color rgb="FFFA7D00"/>
      <name val="Calibri"/>
    </font>
    <font>
      <sz val="12.0"/>
      <color theme="1"/>
      <name val="Calibri"/>
    </font>
    <font>
      <b/>
      <i/>
      <sz val="12.0"/>
      <color rgb="FF9C6500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B2B2B2"/>
      </left>
      <top style="thin">
        <color rgb="FFB2B2B2"/>
      </top>
    </border>
    <border>
      <top style="thin">
        <color rgb="FFB2B2B2"/>
      </top>
    </border>
    <border>
      <right style="thin">
        <color rgb="FFB2B2B2"/>
      </right>
      <top style="thin">
        <color rgb="FFB2B2B2"/>
      </top>
    </border>
    <border>
      <left style="thin">
        <color rgb="FFB2B2B2"/>
      </left>
      <bottom style="thin">
        <color rgb="FFB2B2B2"/>
      </bottom>
    </border>
    <border>
      <bottom style="thin">
        <color rgb="FFB2B2B2"/>
      </bottom>
    </border>
    <border>
      <right style="thin">
        <color rgb="FFB2B2B2"/>
      </right>
      <bottom style="thin">
        <color rgb="FFB2B2B2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ill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5" numFmtId="164" xfId="0" applyAlignment="1" applyBorder="1" applyFont="1" applyNumberFormat="1">
      <alignment horizontal="center" readingOrder="0" shrinkToFit="0" vertical="center" wrapText="1"/>
    </xf>
    <xf borderId="4" fillId="0" fontId="5" numFmtId="49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left" readingOrder="0" shrinkToFit="0" vertical="center" wrapText="1"/>
    </xf>
    <xf borderId="4" fillId="4" fontId="6" numFmtId="0" xfId="0" applyAlignment="1" applyBorder="1" applyFill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left" readingOrder="0"/>
    </xf>
    <xf borderId="0" fillId="0" fontId="7" numFmtId="0" xfId="0" applyAlignment="1" applyFont="1">
      <alignment readingOrder="0"/>
    </xf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readingOrder="0"/>
    </xf>
    <xf borderId="4" fillId="0" fontId="8" numFmtId="0" xfId="0" applyAlignment="1" applyBorder="1" applyFont="1">
      <alignment readingOrder="0" shrinkToFit="0" wrapText="1"/>
    </xf>
    <xf borderId="4" fillId="3" fontId="5" numFmtId="0" xfId="0" applyAlignment="1" applyBorder="1" applyFont="1">
      <alignment readingOrder="0" shrinkToFit="0" vertical="center" wrapText="1"/>
    </xf>
    <xf borderId="0" fillId="0" fontId="9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0" numFmtId="0" xfId="0" applyAlignment="1" applyFont="1">
      <alignment horizontal="left" shrinkToFit="0" vertical="center" wrapText="1"/>
    </xf>
    <xf borderId="0" fillId="0" fontId="11" numFmtId="0" xfId="0" applyFont="1"/>
    <xf borderId="1" fillId="5" fontId="12" numFmtId="0" xfId="0" applyAlignment="1" applyBorder="1" applyFill="1" applyFont="1">
      <alignment horizontal="center" shrinkToFit="0" vertical="center" wrapText="1"/>
    </xf>
    <xf borderId="0" fillId="0" fontId="13" numFmtId="0" xfId="0" applyFont="1"/>
    <xf borderId="0" fillId="0" fontId="10" numFmtId="0" xfId="0" applyAlignment="1" applyFont="1">
      <alignment horizontal="center" shrinkToFit="0" vertical="center" wrapText="1"/>
    </xf>
    <xf borderId="5" fillId="5" fontId="13" numFmtId="0" xfId="0" applyBorder="1" applyFont="1"/>
    <xf borderId="6" fillId="5" fontId="10" numFmtId="0" xfId="0" applyAlignment="1" applyBorder="1" applyFont="1">
      <alignment horizontal="left" shrinkToFit="0" vertical="center" wrapText="1"/>
    </xf>
    <xf borderId="6" fillId="5" fontId="11" numFmtId="0" xfId="0" applyBorder="1" applyFont="1"/>
    <xf borderId="6" fillId="5" fontId="13" numFmtId="0" xfId="0" applyBorder="1" applyFont="1"/>
    <xf borderId="7" fillId="5" fontId="13" numFmtId="0" xfId="0" applyBorder="1" applyFont="1"/>
    <xf borderId="8" fillId="5" fontId="13" numFmtId="0" xfId="0" applyBorder="1" applyFont="1"/>
    <xf borderId="4" fillId="6" fontId="14" numFmtId="0" xfId="0" applyAlignment="1" applyBorder="1" applyFill="1" applyFont="1">
      <alignment horizontal="center" vertical="center"/>
    </xf>
    <xf borderId="9" fillId="5" fontId="15" numFmtId="0" xfId="0" applyAlignment="1" applyBorder="1" applyFont="1">
      <alignment vertical="center"/>
    </xf>
    <xf borderId="1" fillId="6" fontId="14" numFmtId="0" xfId="0" applyAlignment="1" applyBorder="1" applyFont="1">
      <alignment horizontal="center" vertical="center"/>
    </xf>
    <xf borderId="9" fillId="5" fontId="13" numFmtId="0" xfId="0" applyBorder="1" applyFont="1"/>
    <xf borderId="10" fillId="5" fontId="13" numFmtId="0" xfId="0" applyBorder="1" applyFont="1"/>
    <xf borderId="4" fillId="7" fontId="16" numFmtId="0" xfId="0" applyAlignment="1" applyBorder="1" applyFill="1" applyFont="1">
      <alignment horizontal="center" readingOrder="0" vertical="center"/>
    </xf>
    <xf borderId="9" fillId="5" fontId="11" numFmtId="0" xfId="0" applyAlignment="1" applyBorder="1" applyFont="1">
      <alignment shrinkToFit="0" vertical="center" wrapText="1"/>
    </xf>
    <xf borderId="1" fillId="7" fontId="11" numFmtId="0" xfId="0" applyAlignment="1" applyBorder="1" applyFont="1">
      <alignment horizontal="center" vertical="center"/>
    </xf>
    <xf borderId="9" fillId="5" fontId="11" numFmtId="0" xfId="0" applyAlignment="1" applyBorder="1" applyFont="1">
      <alignment vertical="center"/>
    </xf>
    <xf borderId="9" fillId="5" fontId="16" numFmtId="0" xfId="0" applyAlignment="1" applyBorder="1" applyFont="1">
      <alignment horizontal="center" vertical="center"/>
    </xf>
    <xf borderId="9" fillId="5" fontId="11" numFmtId="0" xfId="0" applyAlignment="1" applyBorder="1" applyFont="1">
      <alignment horizontal="center" vertical="center"/>
    </xf>
    <xf borderId="4" fillId="7" fontId="16" numFmtId="0" xfId="0" applyAlignment="1" applyBorder="1" applyFont="1">
      <alignment horizontal="center" vertical="center"/>
    </xf>
    <xf borderId="11" fillId="8" fontId="14" numFmtId="0" xfId="0" applyAlignment="1" applyBorder="1" applyFill="1" applyFont="1">
      <alignment horizontal="center" vertical="center"/>
    </xf>
    <xf borderId="12" fillId="7" fontId="11" numFmtId="0" xfId="0" applyAlignment="1" applyBorder="1" applyFont="1">
      <alignment horizontal="center" shrinkToFit="0" vertical="center" wrapText="1"/>
    </xf>
    <xf borderId="13" fillId="0" fontId="3" numFmtId="0" xfId="0" applyBorder="1" applyFont="1"/>
    <xf borderId="9" fillId="5" fontId="13" numFmtId="0" xfId="0" applyAlignment="1" applyBorder="1" applyFont="1">
      <alignment horizontal="center"/>
    </xf>
    <xf borderId="14" fillId="0" fontId="3" numFmtId="0" xfId="0" applyBorder="1" applyFont="1"/>
    <xf borderId="12" fillId="7" fontId="11" numFmtId="0" xfId="0" applyAlignment="1" applyBorder="1" applyFont="1">
      <alignment horizontal="left" shrinkToFit="0" vertical="center" wrapText="1"/>
    </xf>
    <xf borderId="15" fillId="0" fontId="3" numFmtId="0" xfId="0" applyBorder="1" applyFont="1"/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0" fillId="0" fontId="13" numFmtId="0" xfId="0" applyAlignment="1" applyFont="1">
      <alignment readingOrder="0"/>
    </xf>
    <xf borderId="12" fillId="9" fontId="17" numFmtId="0" xfId="0" applyAlignment="1" applyBorder="1" applyFill="1" applyFont="1">
      <alignment horizontal="center" vertical="center"/>
    </xf>
    <xf borderId="22" fillId="2" fontId="16" numFmtId="0" xfId="0" applyAlignment="1" applyBorder="1" applyFont="1">
      <alignment horizontal="center" vertical="center"/>
    </xf>
    <xf borderId="23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borderId="26" fillId="0" fontId="3" numFmtId="0" xfId="0" applyBorder="1" applyFont="1"/>
    <xf borderId="27" fillId="0" fontId="3" numFmtId="0" xfId="0" applyBorder="1" applyFont="1"/>
    <xf borderId="12" fillId="6" fontId="14" numFmtId="0" xfId="0" applyAlignment="1" applyBorder="1" applyFont="1">
      <alignment horizontal="center" vertical="center"/>
    </xf>
    <xf borderId="12" fillId="7" fontId="11" numFmtId="49" xfId="0" applyAlignment="1" applyBorder="1" applyFont="1" applyNumberFormat="1">
      <alignment horizontal="left" shrinkToFit="0" vertical="center" wrapText="1"/>
    </xf>
    <xf borderId="28" fillId="5" fontId="13" numFmtId="0" xfId="0" applyBorder="1" applyFont="1"/>
    <xf borderId="29" fillId="5" fontId="13" numFmtId="0" xfId="0" applyBorder="1" applyFont="1"/>
    <xf borderId="30" fillId="5" fontId="13" numFmtId="0" xfId="0" applyBorder="1" applyFon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4.63"/>
    <col customWidth="1" min="2" max="2" width="6.63"/>
    <col customWidth="1" min="3" max="5" width="20.63"/>
    <col customWidth="1" min="6" max="6" width="14.63"/>
    <col customWidth="1" min="7" max="7" width="32.5"/>
    <col customWidth="1" min="8" max="12" width="10.63"/>
    <col customWidth="1" min="13" max="13" width="32.75"/>
    <col customWidth="1" min="14" max="15" width="20.63"/>
    <col customWidth="1" min="16" max="26" width="9.38"/>
  </cols>
  <sheetData>
    <row r="1">
      <c r="A1" s="1">
        <v>4.0</v>
      </c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45.0" customHeight="1">
      <c r="A3" s="1"/>
      <c r="B3" s="4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6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60.0" customHeight="1">
      <c r="A5" s="1"/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97.5" customHeight="1">
      <c r="A6" s="1"/>
      <c r="B6" s="8" t="s">
        <v>15</v>
      </c>
      <c r="C6" s="9" t="s">
        <v>16</v>
      </c>
      <c r="D6" s="9" t="s">
        <v>17</v>
      </c>
      <c r="E6" s="9" t="s">
        <v>18</v>
      </c>
      <c r="F6" s="9" t="s">
        <v>19</v>
      </c>
      <c r="G6" s="9" t="s">
        <v>20</v>
      </c>
      <c r="H6" s="9" t="s">
        <v>21</v>
      </c>
      <c r="I6" s="9" t="s">
        <v>22</v>
      </c>
      <c r="J6" s="10">
        <v>45979.0</v>
      </c>
      <c r="K6" s="9" t="s">
        <v>23</v>
      </c>
      <c r="L6" s="9" t="s">
        <v>24</v>
      </c>
      <c r="M6" s="11" t="s">
        <v>25</v>
      </c>
      <c r="N6" s="12" t="s">
        <v>26</v>
      </c>
      <c r="O6" s="9" t="s">
        <v>27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12.5" customHeight="1">
      <c r="A7" s="1"/>
      <c r="B7" s="8" t="s">
        <v>28</v>
      </c>
      <c r="C7" s="9" t="s">
        <v>29</v>
      </c>
      <c r="D7" s="9" t="s">
        <v>30</v>
      </c>
      <c r="E7" s="9" t="s">
        <v>31</v>
      </c>
      <c r="F7" s="9" t="s">
        <v>32</v>
      </c>
      <c r="G7" s="13" t="s">
        <v>33</v>
      </c>
      <c r="H7" s="9" t="s">
        <v>21</v>
      </c>
      <c r="I7" s="9" t="s">
        <v>34</v>
      </c>
      <c r="J7" s="10">
        <v>45979.0</v>
      </c>
      <c r="K7" s="9" t="s">
        <v>23</v>
      </c>
      <c r="L7" s="9" t="s">
        <v>24</v>
      </c>
      <c r="M7" s="9" t="s">
        <v>35</v>
      </c>
      <c r="N7" s="12" t="s">
        <v>36</v>
      </c>
      <c r="O7" s="9" t="s">
        <v>37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97.5" customHeight="1">
      <c r="A8" s="1"/>
      <c r="B8" s="8" t="s">
        <v>38</v>
      </c>
      <c r="C8" s="9" t="s">
        <v>39</v>
      </c>
      <c r="D8" s="9" t="s">
        <v>40</v>
      </c>
      <c r="E8" s="9" t="s">
        <v>41</v>
      </c>
      <c r="F8" s="9" t="s">
        <v>42</v>
      </c>
      <c r="G8" s="13" t="s">
        <v>43</v>
      </c>
      <c r="H8" s="9" t="s">
        <v>21</v>
      </c>
      <c r="I8" s="9" t="s">
        <v>22</v>
      </c>
      <c r="J8" s="10">
        <v>45979.0</v>
      </c>
      <c r="K8" s="9" t="s">
        <v>23</v>
      </c>
      <c r="L8" s="9" t="s">
        <v>24</v>
      </c>
      <c r="M8" s="9" t="s">
        <v>44</v>
      </c>
      <c r="N8" s="12" t="s">
        <v>45</v>
      </c>
      <c r="O8" s="9" t="s">
        <v>46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75.75" customHeight="1">
      <c r="A9" s="1"/>
      <c r="B9" s="8" t="s">
        <v>47</v>
      </c>
      <c r="C9" s="9" t="s">
        <v>48</v>
      </c>
      <c r="D9" s="13" t="s">
        <v>49</v>
      </c>
      <c r="E9" s="9" t="s">
        <v>50</v>
      </c>
      <c r="F9" s="9" t="s">
        <v>51</v>
      </c>
      <c r="G9" s="13" t="s">
        <v>52</v>
      </c>
      <c r="H9" s="9" t="s">
        <v>21</v>
      </c>
      <c r="I9" s="9" t="s">
        <v>53</v>
      </c>
      <c r="J9" s="10">
        <v>45979.0</v>
      </c>
      <c r="K9" s="9" t="s">
        <v>23</v>
      </c>
      <c r="L9" s="9" t="s">
        <v>24</v>
      </c>
      <c r="M9" s="9" t="s">
        <v>54</v>
      </c>
      <c r="N9" s="12" t="s">
        <v>55</v>
      </c>
      <c r="O9" s="9" t="s">
        <v>56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98.25" customHeight="1">
      <c r="A10" s="1"/>
      <c r="B10" s="8" t="s">
        <v>57</v>
      </c>
      <c r="C10" s="9" t="s">
        <v>58</v>
      </c>
      <c r="D10" s="9" t="s">
        <v>59</v>
      </c>
      <c r="E10" s="9" t="s">
        <v>60</v>
      </c>
      <c r="F10" s="9" t="s">
        <v>61</v>
      </c>
      <c r="G10" s="9" t="s">
        <v>62</v>
      </c>
      <c r="H10" s="9" t="s">
        <v>21</v>
      </c>
      <c r="I10" s="9" t="s">
        <v>22</v>
      </c>
      <c r="J10" s="10">
        <v>45979.0</v>
      </c>
      <c r="K10" s="9" t="s">
        <v>23</v>
      </c>
      <c r="L10" s="9" t="s">
        <v>24</v>
      </c>
      <c r="M10" s="11" t="s">
        <v>63</v>
      </c>
      <c r="N10" s="12" t="s">
        <v>64</v>
      </c>
      <c r="O10" s="9" t="s">
        <v>65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90.75" customHeight="1">
      <c r="A11" s="1"/>
      <c r="B11" s="8" t="s">
        <v>66</v>
      </c>
      <c r="C11" s="9" t="s">
        <v>67</v>
      </c>
      <c r="D11" s="14" t="s">
        <v>68</v>
      </c>
      <c r="E11" s="9" t="s">
        <v>69</v>
      </c>
      <c r="F11" s="9" t="s">
        <v>70</v>
      </c>
      <c r="G11" s="13" t="s">
        <v>71</v>
      </c>
      <c r="H11" s="9" t="s">
        <v>21</v>
      </c>
      <c r="I11" s="9" t="s">
        <v>22</v>
      </c>
      <c r="J11" s="10">
        <v>45979.0</v>
      </c>
      <c r="K11" s="9" t="s">
        <v>23</v>
      </c>
      <c r="L11" s="9" t="s">
        <v>24</v>
      </c>
      <c r="M11" s="9" t="s">
        <v>72</v>
      </c>
      <c r="N11" s="12" t="s">
        <v>73</v>
      </c>
      <c r="O11" s="9" t="s">
        <v>74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93.0" customHeight="1">
      <c r="A12" s="1"/>
      <c r="B12" s="8" t="s">
        <v>75</v>
      </c>
      <c r="C12" s="9" t="s">
        <v>76</v>
      </c>
      <c r="D12" s="13" t="s">
        <v>77</v>
      </c>
      <c r="E12" s="9" t="s">
        <v>78</v>
      </c>
      <c r="F12" s="9" t="s">
        <v>51</v>
      </c>
      <c r="G12" s="13" t="s">
        <v>79</v>
      </c>
      <c r="H12" s="9" t="s">
        <v>21</v>
      </c>
      <c r="I12" s="9" t="s">
        <v>80</v>
      </c>
      <c r="J12" s="10">
        <v>45979.0</v>
      </c>
      <c r="K12" s="9" t="s">
        <v>23</v>
      </c>
      <c r="L12" s="9" t="s">
        <v>24</v>
      </c>
      <c r="M12" s="9" t="s">
        <v>81</v>
      </c>
      <c r="N12" s="12" t="s">
        <v>82</v>
      </c>
      <c r="O12" s="9" t="s">
        <v>83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99.75" customHeight="1">
      <c r="A13" s="1"/>
      <c r="B13" s="8" t="s">
        <v>84</v>
      </c>
      <c r="C13" s="9" t="s">
        <v>85</v>
      </c>
      <c r="D13" s="13" t="s">
        <v>86</v>
      </c>
      <c r="E13" s="9" t="s">
        <v>87</v>
      </c>
      <c r="F13" s="9" t="s">
        <v>51</v>
      </c>
      <c r="G13" s="13" t="s">
        <v>88</v>
      </c>
      <c r="H13" s="9" t="s">
        <v>21</v>
      </c>
      <c r="I13" s="9" t="s">
        <v>80</v>
      </c>
      <c r="J13" s="10">
        <v>45979.0</v>
      </c>
      <c r="K13" s="9" t="s">
        <v>23</v>
      </c>
      <c r="L13" s="9" t="s">
        <v>24</v>
      </c>
      <c r="M13" s="9" t="s">
        <v>89</v>
      </c>
      <c r="N13" s="15" t="s">
        <v>90</v>
      </c>
      <c r="O13" s="9" t="s">
        <v>91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82.5" customHeight="1">
      <c r="A14" s="1"/>
      <c r="B14" s="8" t="s">
        <v>92</v>
      </c>
      <c r="C14" s="9" t="s">
        <v>93</v>
      </c>
      <c r="D14" s="9" t="s">
        <v>94</v>
      </c>
      <c r="E14" s="9" t="s">
        <v>95</v>
      </c>
      <c r="F14" s="9" t="s">
        <v>96</v>
      </c>
      <c r="G14" s="13" t="s">
        <v>97</v>
      </c>
      <c r="H14" s="9" t="s">
        <v>98</v>
      </c>
      <c r="I14" s="9" t="s">
        <v>99</v>
      </c>
      <c r="J14" s="10">
        <v>45979.0</v>
      </c>
      <c r="K14" s="9" t="s">
        <v>23</v>
      </c>
      <c r="L14" s="9" t="s">
        <v>24</v>
      </c>
      <c r="M14" s="9" t="s">
        <v>100</v>
      </c>
      <c r="N14" s="15" t="s">
        <v>101</v>
      </c>
      <c r="O14" s="9" t="s">
        <v>102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88.5" customHeight="1">
      <c r="A15" s="1"/>
      <c r="B15" s="8" t="s">
        <v>103</v>
      </c>
      <c r="C15" s="9" t="s">
        <v>104</v>
      </c>
      <c r="D15" s="9" t="s">
        <v>105</v>
      </c>
      <c r="E15" s="9" t="s">
        <v>106</v>
      </c>
      <c r="F15" s="9" t="s">
        <v>96</v>
      </c>
      <c r="G15" s="13" t="s">
        <v>107</v>
      </c>
      <c r="H15" s="9" t="s">
        <v>98</v>
      </c>
      <c r="I15" s="9" t="s">
        <v>108</v>
      </c>
      <c r="J15" s="10">
        <v>45979.0</v>
      </c>
      <c r="K15" s="9" t="s">
        <v>109</v>
      </c>
      <c r="L15" s="9" t="s">
        <v>24</v>
      </c>
      <c r="M15" s="9" t="s">
        <v>110</v>
      </c>
      <c r="N15" s="15" t="s">
        <v>111</v>
      </c>
      <c r="O15" s="9" t="s">
        <v>112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86.25" customHeight="1">
      <c r="A16" s="1"/>
      <c r="B16" s="8" t="s">
        <v>113</v>
      </c>
      <c r="C16" s="9" t="s">
        <v>114</v>
      </c>
      <c r="D16" s="9" t="s">
        <v>115</v>
      </c>
      <c r="E16" s="9" t="s">
        <v>116</v>
      </c>
      <c r="F16" s="9" t="s">
        <v>70</v>
      </c>
      <c r="G16" s="13" t="s">
        <v>117</v>
      </c>
      <c r="H16" s="9" t="s">
        <v>98</v>
      </c>
      <c r="I16" s="9" t="s">
        <v>53</v>
      </c>
      <c r="J16" s="10">
        <v>45979.0</v>
      </c>
      <c r="K16" s="9" t="s">
        <v>109</v>
      </c>
      <c r="L16" s="9" t="s">
        <v>24</v>
      </c>
      <c r="M16" s="9" t="s">
        <v>118</v>
      </c>
      <c r="N16" s="16" t="s">
        <v>119</v>
      </c>
      <c r="O16" s="9" t="s">
        <v>120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96.0" customHeight="1">
      <c r="A17" s="1"/>
      <c r="B17" s="8" t="s">
        <v>121</v>
      </c>
      <c r="C17" s="9" t="s">
        <v>122</v>
      </c>
      <c r="D17" s="9" t="s">
        <v>123</v>
      </c>
      <c r="E17" s="9" t="s">
        <v>124</v>
      </c>
      <c r="F17" s="9" t="s">
        <v>70</v>
      </c>
      <c r="G17" s="13" t="s">
        <v>125</v>
      </c>
      <c r="H17" s="9" t="s">
        <v>98</v>
      </c>
      <c r="I17" s="9" t="s">
        <v>22</v>
      </c>
      <c r="J17" s="10">
        <v>45979.0</v>
      </c>
      <c r="K17" s="9" t="s">
        <v>23</v>
      </c>
      <c r="L17" s="9" t="s">
        <v>24</v>
      </c>
      <c r="M17" s="9" t="s">
        <v>126</v>
      </c>
      <c r="N17" s="15" t="s">
        <v>127</v>
      </c>
      <c r="O17" s="9" t="s">
        <v>128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95.25" customHeight="1">
      <c r="A18" s="1"/>
      <c r="B18" s="8"/>
      <c r="C18" s="9"/>
      <c r="D18" s="9"/>
      <c r="E18" s="9"/>
      <c r="F18" s="9"/>
      <c r="G18" s="13"/>
      <c r="H18" s="9"/>
      <c r="I18" s="9"/>
      <c r="J18" s="10"/>
      <c r="K18" s="9"/>
      <c r="L18" s="9"/>
      <c r="M18" s="9"/>
      <c r="N18" s="16"/>
      <c r="O18" s="9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90.75" customHeight="1">
      <c r="A19" s="1"/>
      <c r="B19" s="8"/>
      <c r="C19" s="9"/>
      <c r="D19" s="9"/>
      <c r="E19" s="9"/>
      <c r="F19" s="9"/>
      <c r="G19" s="13"/>
      <c r="H19" s="9"/>
      <c r="I19" s="9"/>
      <c r="J19" s="10"/>
      <c r="K19" s="9"/>
      <c r="L19" s="9"/>
      <c r="M19" s="9"/>
      <c r="N19" s="17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8"/>
      <c r="C20" s="9"/>
      <c r="D20" s="9"/>
      <c r="E20" s="9"/>
      <c r="F20" s="9"/>
      <c r="G20" s="9"/>
      <c r="H20" s="9"/>
      <c r="I20" s="9"/>
      <c r="J20" s="10"/>
      <c r="K20" s="9"/>
      <c r="L20" s="9"/>
      <c r="M20" s="13"/>
      <c r="N20" s="9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8"/>
      <c r="C21" s="19"/>
      <c r="D21" s="19"/>
      <c r="E21" s="19"/>
      <c r="F21" s="20"/>
      <c r="G21" s="19"/>
      <c r="H21" s="9"/>
      <c r="I21" s="9"/>
      <c r="J21" s="10"/>
      <c r="K21" s="9"/>
      <c r="L21" s="9"/>
      <c r="M21" s="19"/>
      <c r="N21" s="12"/>
      <c r="O21" s="1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8"/>
      <c r="C22" s="19"/>
      <c r="D22" s="19"/>
      <c r="E22" s="19"/>
      <c r="F22" s="20"/>
      <c r="G22" s="19"/>
      <c r="H22" s="9"/>
      <c r="I22" s="9"/>
      <c r="J22" s="10"/>
      <c r="K22" s="9"/>
      <c r="L22" s="9"/>
      <c r="M22" s="19"/>
      <c r="N22" s="12"/>
      <c r="O22" s="1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8"/>
      <c r="C23" s="19"/>
      <c r="D23" s="19"/>
      <c r="E23" s="19"/>
      <c r="F23" s="21"/>
      <c r="G23" s="19"/>
      <c r="H23" s="9"/>
      <c r="I23" s="9"/>
      <c r="J23" s="10"/>
      <c r="K23" s="9"/>
      <c r="L23" s="9"/>
      <c r="M23" s="19"/>
      <c r="N23" s="12"/>
      <c r="O23" s="1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22"/>
      <c r="C24" s="9"/>
      <c r="D24" s="9"/>
      <c r="E24" s="9"/>
      <c r="F24" s="9"/>
      <c r="G24" s="9"/>
      <c r="H24" s="9"/>
      <c r="I24" s="9"/>
      <c r="J24" s="10"/>
      <c r="K24" s="9"/>
      <c r="L24" s="9"/>
      <c r="M24" s="11"/>
      <c r="N24" s="12"/>
      <c r="O24" s="9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75.75" customHeight="1">
      <c r="A25" s="1"/>
      <c r="B25" s="22"/>
      <c r="C25" s="9"/>
      <c r="D25" s="9"/>
      <c r="E25" s="9"/>
      <c r="F25" s="9"/>
      <c r="G25" s="9"/>
      <c r="H25" s="9"/>
      <c r="I25" s="9"/>
      <c r="J25" s="10"/>
      <c r="K25" s="9"/>
      <c r="L25" s="9"/>
      <c r="M25" s="11"/>
      <c r="N25" s="12"/>
      <c r="O25" s="9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75.75" customHeight="1">
      <c r="A26" s="1"/>
      <c r="B26" s="22"/>
      <c r="C26" s="9"/>
      <c r="D26" s="9"/>
      <c r="E26" s="9"/>
      <c r="F26" s="9"/>
      <c r="G26" s="13"/>
      <c r="H26" s="9"/>
      <c r="I26" s="9"/>
      <c r="J26" s="10"/>
      <c r="K26" s="9"/>
      <c r="L26" s="9"/>
      <c r="M26" s="11"/>
      <c r="N26" s="12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75.75" customHeight="1">
      <c r="A27" s="1"/>
      <c r="B27" s="22"/>
      <c r="C27" s="9"/>
      <c r="D27" s="13"/>
      <c r="E27" s="9"/>
      <c r="F27" s="9"/>
      <c r="G27" s="13"/>
      <c r="H27" s="9"/>
      <c r="I27" s="9"/>
      <c r="J27" s="10"/>
      <c r="K27" s="9"/>
      <c r="L27" s="9"/>
      <c r="M27" s="11"/>
      <c r="N27" s="12"/>
      <c r="O27" s="9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1"/>
      <c r="C28" s="1"/>
      <c r="D28" s="1"/>
      <c r="E28" s="1"/>
      <c r="F28" s="1"/>
      <c r="G28" s="1"/>
      <c r="H28" s="1"/>
      <c r="I28" s="2"/>
      <c r="J28" s="2"/>
      <c r="K28" s="23"/>
      <c r="L28" s="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1"/>
      <c r="C29" s="1"/>
      <c r="D29" s="1"/>
      <c r="E29" s="1"/>
      <c r="F29" s="1"/>
      <c r="G29" s="1"/>
      <c r="H29" s="1"/>
      <c r="I29" s="2"/>
      <c r="J29" s="2"/>
      <c r="K29" s="23"/>
      <c r="L29" s="2"/>
      <c r="M29" s="1"/>
      <c r="N29" s="1"/>
      <c r="O29" s="2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1"/>
      <c r="C30" s="1"/>
      <c r="D30" s="1"/>
      <c r="E30" s="1"/>
      <c r="F30" s="1"/>
      <c r="G30" s="1"/>
      <c r="H30" s="1"/>
      <c r="I30" s="2"/>
      <c r="J30" s="2"/>
      <c r="K30" s="3"/>
      <c r="L30" s="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1"/>
      <c r="C31" s="1"/>
      <c r="D31" s="1"/>
      <c r="E31" s="1"/>
      <c r="F31" s="1"/>
      <c r="G31" s="1"/>
      <c r="H31" s="1"/>
      <c r="I31" s="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1"/>
      <c r="C32" s="1"/>
      <c r="D32" s="1"/>
      <c r="E32" s="1"/>
      <c r="F32" s="1"/>
      <c r="G32" s="1"/>
      <c r="H32" s="1"/>
      <c r="I32" s="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1"/>
      <c r="C33" s="1"/>
      <c r="D33" s="1"/>
      <c r="E33" s="1"/>
      <c r="F33" s="1"/>
      <c r="G33" s="1"/>
      <c r="H33" s="1"/>
      <c r="I33" s="2"/>
      <c r="J33" s="1"/>
      <c r="K33" s="3" t="s">
        <v>23</v>
      </c>
      <c r="L33" s="3" t="s">
        <v>129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1"/>
      <c r="C34" s="1"/>
      <c r="D34" s="1"/>
      <c r="E34" s="1"/>
      <c r="F34" s="1"/>
      <c r="G34" s="1"/>
      <c r="H34" s="1"/>
      <c r="I34" s="2"/>
      <c r="J34" s="1"/>
      <c r="K34" s="3" t="s">
        <v>109</v>
      </c>
      <c r="L34" s="3" t="s">
        <v>130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1"/>
      <c r="C35" s="1"/>
      <c r="D35" s="1"/>
      <c r="E35" s="1"/>
      <c r="F35" s="1"/>
      <c r="G35" s="1"/>
      <c r="H35" s="1"/>
      <c r="I35" s="2"/>
      <c r="J35" s="1"/>
      <c r="K35" s="3" t="s">
        <v>131</v>
      </c>
      <c r="L35" s="3" t="s">
        <v>24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1"/>
      <c r="C36" s="1"/>
      <c r="D36" s="1"/>
      <c r="E36" s="1"/>
      <c r="F36" s="1"/>
      <c r="G36" s="1"/>
      <c r="H36" s="1"/>
      <c r="I36" s="2"/>
      <c r="J36" s="1"/>
      <c r="K36" s="3"/>
      <c r="L36" s="3" t="s">
        <v>132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1"/>
      <c r="C37" s="1"/>
      <c r="D37" s="1"/>
      <c r="E37" s="1"/>
      <c r="F37" s="1"/>
      <c r="G37" s="1"/>
      <c r="H37" s="1"/>
      <c r="I37" s="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1"/>
      <c r="C38" s="1"/>
      <c r="D38" s="1"/>
      <c r="E38" s="1"/>
      <c r="F38" s="1"/>
      <c r="G38" s="1"/>
      <c r="H38" s="1"/>
      <c r="I38" s="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2"/>
      <c r="J41" s="2"/>
      <c r="K41" s="3"/>
      <c r="L41" s="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2"/>
      <c r="J42" s="2"/>
      <c r="K42" s="3"/>
      <c r="L42" s="2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2"/>
      <c r="J43" s="2"/>
      <c r="K43" s="3"/>
      <c r="L43" s="2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2"/>
      <c r="J44" s="2"/>
      <c r="K44" s="3"/>
      <c r="L44" s="2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2"/>
      <c r="J45" s="2"/>
      <c r="K45" s="3"/>
      <c r="L45" s="2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2"/>
      <c r="J46" s="2"/>
      <c r="K46" s="3"/>
      <c r="L46" s="2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2"/>
      <c r="J47" s="2"/>
      <c r="K47" s="3"/>
      <c r="L47" s="2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2"/>
      <c r="J48" s="2"/>
      <c r="K48" s="3"/>
      <c r="L48" s="2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2"/>
      <c r="J49" s="2"/>
      <c r="K49" s="3"/>
      <c r="L49" s="2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2"/>
      <c r="J50" s="2"/>
      <c r="K50" s="3"/>
      <c r="L50" s="2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2"/>
      <c r="J51" s="2"/>
      <c r="K51" s="3"/>
      <c r="L51" s="2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2"/>
      <c r="J52" s="2"/>
      <c r="K52" s="3"/>
      <c r="L52" s="2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2"/>
      <c r="J53" s="2"/>
      <c r="K53" s="3"/>
      <c r="L53" s="2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2"/>
      <c r="J54" s="2"/>
      <c r="K54" s="3"/>
      <c r="L54" s="2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2"/>
      <c r="J55" s="2"/>
      <c r="K55" s="3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2"/>
      <c r="J56" s="2"/>
      <c r="K56" s="3"/>
      <c r="L56" s="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2"/>
      <c r="J57" s="2"/>
      <c r="K57" s="3"/>
      <c r="L57" s="2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2"/>
      <c r="J58" s="2"/>
      <c r="K58" s="3"/>
      <c r="L58" s="2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2"/>
      <c r="J59" s="2"/>
      <c r="K59" s="3"/>
      <c r="L59" s="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2"/>
      <c r="J60" s="2"/>
      <c r="K60" s="3"/>
      <c r="L60" s="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2"/>
      <c r="J61" s="2"/>
      <c r="K61" s="3"/>
      <c r="L61" s="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2"/>
      <c r="J62" s="2"/>
      <c r="K62" s="3"/>
      <c r="L62" s="2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2"/>
      <c r="J63" s="2"/>
      <c r="K63" s="3"/>
      <c r="L63" s="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2"/>
      <c r="J64" s="2"/>
      <c r="K64" s="3"/>
      <c r="L64" s="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2"/>
      <c r="J65" s="2"/>
      <c r="K65" s="3"/>
      <c r="L65" s="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2"/>
      <c r="J66" s="2"/>
      <c r="K66" s="3"/>
      <c r="L66" s="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2"/>
      <c r="J67" s="2"/>
      <c r="K67" s="3"/>
      <c r="L67" s="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2"/>
      <c r="J68" s="2"/>
      <c r="K68" s="3"/>
      <c r="L68" s="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2"/>
      <c r="J69" s="2"/>
      <c r="K69" s="3"/>
      <c r="L69" s="2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2"/>
      <c r="J70" s="2"/>
      <c r="K70" s="3"/>
      <c r="L70" s="2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2"/>
      <c r="J71" s="2"/>
      <c r="K71" s="3"/>
      <c r="L71" s="2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2"/>
      <c r="J72" s="2"/>
      <c r="K72" s="3"/>
      <c r="L72" s="2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2"/>
      <c r="J73" s="2"/>
      <c r="K73" s="3"/>
      <c r="L73" s="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2"/>
      <c r="J74" s="2"/>
      <c r="K74" s="3"/>
      <c r="L74" s="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2"/>
      <c r="J75" s="2"/>
      <c r="K75" s="3"/>
      <c r="L75" s="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2"/>
      <c r="J76" s="2"/>
      <c r="K76" s="3"/>
      <c r="L76" s="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2"/>
      <c r="J77" s="2"/>
      <c r="K77" s="3"/>
      <c r="L77" s="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2"/>
      <c r="J78" s="2"/>
      <c r="K78" s="3"/>
      <c r="L78" s="2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2"/>
      <c r="J79" s="2"/>
      <c r="K79" s="3"/>
      <c r="L79" s="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2"/>
      <c r="J80" s="2"/>
      <c r="K80" s="3"/>
      <c r="L80" s="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2"/>
      <c r="J81" s="2"/>
      <c r="K81" s="3"/>
      <c r="L81" s="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2"/>
      <c r="J82" s="2"/>
      <c r="K82" s="3"/>
      <c r="L82" s="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2"/>
      <c r="J83" s="2"/>
      <c r="K83" s="3"/>
      <c r="L83" s="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2"/>
      <c r="J84" s="2"/>
      <c r="K84" s="3"/>
      <c r="L84" s="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2"/>
      <c r="J85" s="2"/>
      <c r="K85" s="3"/>
      <c r="L85" s="2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2"/>
      <c r="J86" s="2"/>
      <c r="K86" s="3"/>
      <c r="L86" s="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2"/>
      <c r="J87" s="2"/>
      <c r="K87" s="3"/>
      <c r="L87" s="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2"/>
      <c r="J88" s="2"/>
      <c r="K88" s="3"/>
      <c r="L88" s="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2"/>
      <c r="J89" s="2"/>
      <c r="K89" s="3"/>
      <c r="L89" s="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2"/>
      <c r="J90" s="2"/>
      <c r="K90" s="3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2"/>
      <c r="J91" s="2"/>
      <c r="K91" s="3"/>
      <c r="L91" s="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2"/>
      <c r="J92" s="2"/>
      <c r="K92" s="3"/>
      <c r="L92" s="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2"/>
      <c r="J93" s="2"/>
      <c r="K93" s="3"/>
      <c r="L93" s="2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2"/>
      <c r="J94" s="2"/>
      <c r="K94" s="3"/>
      <c r="L94" s="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2"/>
      <c r="J95" s="2"/>
      <c r="K95" s="3"/>
      <c r="L95" s="2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2"/>
      <c r="J96" s="2"/>
      <c r="K96" s="3"/>
      <c r="L96" s="2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2"/>
      <c r="J97" s="2"/>
      <c r="K97" s="3"/>
      <c r="L97" s="2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2"/>
      <c r="J98" s="2"/>
      <c r="K98" s="3"/>
      <c r="L98" s="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2"/>
      <c r="J99" s="2"/>
      <c r="K99" s="3"/>
      <c r="L99" s="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3"/>
      <c r="L100" s="2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3"/>
      <c r="L101" s="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3"/>
      <c r="L102" s="2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3"/>
      <c r="L103" s="2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3"/>
      <c r="L104" s="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3"/>
      <c r="L105" s="2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3"/>
      <c r="L106" s="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3"/>
      <c r="L107" s="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3"/>
      <c r="L108" s="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3"/>
      <c r="L109" s="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3"/>
      <c r="L110" s="2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3"/>
      <c r="L111" s="2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3"/>
      <c r="L112" s="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3"/>
      <c r="L113" s="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3"/>
      <c r="L114" s="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3"/>
      <c r="L115" s="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3"/>
      <c r="L116" s="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3"/>
      <c r="L117" s="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3"/>
      <c r="L118" s="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3"/>
      <c r="L119" s="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3"/>
      <c r="L120" s="2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3"/>
      <c r="L121" s="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3"/>
      <c r="L122" s="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3"/>
      <c r="L123" s="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3"/>
      <c r="L124" s="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3"/>
      <c r="L125" s="2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3"/>
      <c r="L126" s="2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3"/>
      <c r="L127" s="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3"/>
      <c r="L128" s="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3"/>
      <c r="L129" s="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3"/>
      <c r="L130" s="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3"/>
      <c r="L131" s="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3"/>
      <c r="L132" s="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3"/>
      <c r="L133" s="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3"/>
      <c r="L134" s="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3"/>
      <c r="L135" s="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3"/>
      <c r="L136" s="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3"/>
      <c r="L137" s="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3"/>
      <c r="L138" s="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3"/>
      <c r="L139" s="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3"/>
      <c r="L140" s="2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3"/>
      <c r="L141" s="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3"/>
      <c r="L142" s="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3"/>
      <c r="L143" s="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3"/>
      <c r="L144" s="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3"/>
      <c r="L145" s="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3"/>
      <c r="L146" s="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3"/>
      <c r="L147" s="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3"/>
      <c r="L148" s="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3"/>
      <c r="L149" s="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3"/>
      <c r="L150" s="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3"/>
      <c r="L151" s="2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3"/>
      <c r="L152" s="2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3"/>
      <c r="L153" s="2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3"/>
      <c r="L154" s="2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3"/>
      <c r="L155" s="2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3"/>
      <c r="L156" s="2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3"/>
      <c r="L157" s="2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3"/>
      <c r="L158" s="2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3"/>
      <c r="L159" s="2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3"/>
      <c r="L160" s="2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3"/>
      <c r="L161" s="2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3"/>
      <c r="L162" s="2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3"/>
      <c r="L163" s="2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3"/>
      <c r="L164" s="2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3"/>
      <c r="L165" s="2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3"/>
      <c r="L166" s="2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3"/>
      <c r="L167" s="2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3"/>
      <c r="L168" s="2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3"/>
      <c r="L169" s="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3"/>
      <c r="L170" s="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3"/>
      <c r="L171" s="2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3"/>
      <c r="L172" s="2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3"/>
      <c r="L173" s="2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3"/>
      <c r="L174" s="2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3"/>
      <c r="L175" s="2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3"/>
      <c r="L176" s="2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3"/>
      <c r="L177" s="2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3"/>
      <c r="L178" s="2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3"/>
      <c r="L179" s="2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3"/>
      <c r="L180" s="2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3"/>
      <c r="L181" s="2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3"/>
      <c r="L182" s="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3"/>
      <c r="L183" s="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3"/>
      <c r="L184" s="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3"/>
      <c r="L185" s="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3"/>
      <c r="L186" s="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3"/>
      <c r="L187" s="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3"/>
      <c r="L188" s="2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3"/>
      <c r="L189" s="2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3"/>
      <c r="L190" s="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3"/>
      <c r="L191" s="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3"/>
      <c r="L192" s="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3"/>
      <c r="L193" s="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3"/>
      <c r="L194" s="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3"/>
      <c r="L195" s="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3"/>
      <c r="L196" s="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3"/>
      <c r="L197" s="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3"/>
      <c r="L198" s="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3"/>
      <c r="L199" s="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3"/>
      <c r="L200" s="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3"/>
      <c r="L201" s="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3"/>
      <c r="L202" s="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3"/>
      <c r="L203" s="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3"/>
      <c r="L204" s="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3"/>
      <c r="L205" s="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3"/>
      <c r="L206" s="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3"/>
      <c r="L207" s="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3"/>
      <c r="L208" s="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3"/>
      <c r="L209" s="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3"/>
      <c r="L210" s="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3"/>
      <c r="L211" s="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3"/>
      <c r="L212" s="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3"/>
      <c r="L213" s="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3"/>
      <c r="L214" s="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3"/>
      <c r="L215" s="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3"/>
      <c r="L216" s="2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3"/>
      <c r="L217" s="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3"/>
      <c r="L218" s="2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3"/>
      <c r="L219" s="2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3"/>
      <c r="L220" s="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3"/>
      <c r="L221" s="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3"/>
      <c r="L222" s="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3"/>
      <c r="L223" s="2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3"/>
      <c r="L224" s="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3"/>
      <c r="L225" s="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3"/>
      <c r="L226" s="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3"/>
      <c r="L227" s="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3"/>
      <c r="L228" s="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3"/>
      <c r="L229" s="2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3"/>
      <c r="L230" s="2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3"/>
      <c r="L231" s="2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3"/>
      <c r="L232" s="2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3"/>
      <c r="L233" s="2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3"/>
      <c r="L234" s="2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3"/>
      <c r="L235" s="2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3"/>
      <c r="L236" s="2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3:O3"/>
  </mergeCells>
  <conditionalFormatting sqref="L6:L9 L11:L27">
    <cfRule type="colorScale" priority="1">
      <colorScale>
        <cfvo type="min"/>
        <cfvo type="max"/>
        <color rgb="FF57BB8A"/>
        <color rgb="FFFFFFFF"/>
      </colorScale>
    </cfRule>
  </conditionalFormatting>
  <conditionalFormatting sqref="L12:L19">
    <cfRule type="colorScale" priority="2">
      <colorScale>
        <cfvo type="min"/>
        <cfvo type="max"/>
        <color rgb="FF57BB8A"/>
        <color rgb="FFFFFFFF"/>
      </colorScale>
    </cfRule>
  </conditionalFormatting>
  <conditionalFormatting sqref="L10">
    <cfRule type="colorScale" priority="3">
      <colorScale>
        <cfvo type="min"/>
        <cfvo type="max"/>
        <color rgb="FF57BB8A"/>
        <color rgb="FFFFFFFF"/>
      </colorScale>
    </cfRule>
  </conditionalFormatting>
  <dataValidations>
    <dataValidation type="list" allowBlank="1" showErrorMessage="1" sqref="L6:L27">
      <formula1>$L$33:$L$36</formula1>
    </dataValidation>
    <dataValidation type="list" allowBlank="1" showErrorMessage="1" sqref="K6:K27">
      <formula1>$K$33:$K$35</formula1>
    </dataValidation>
  </dataValidations>
  <printOptions horizontalCentered="1"/>
  <pageMargins bottom="0.5511811023622047" footer="0.0" header="0.0" left="0.31496062992125984" right="0.31496062992125984" top="0.7480314960629921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9.38"/>
    <col customWidth="1" min="2" max="2" width="2.63"/>
    <col customWidth="1" min="3" max="4" width="10.63"/>
    <col customWidth="1" min="5" max="5" width="37.5"/>
    <col customWidth="1" min="6" max="15" width="10.63"/>
    <col customWidth="1" min="16" max="16" width="2.63"/>
    <col customWidth="1" min="17" max="26" width="9.38"/>
  </cols>
  <sheetData>
    <row r="2" ht="15.0" hidden="1" customHeight="1"/>
    <row r="3" ht="15.0" hidden="1" customHeight="1"/>
    <row r="4" hidden="1">
      <c r="C4" s="25"/>
      <c r="D4" s="25"/>
      <c r="E4" s="25"/>
      <c r="F4" s="26"/>
    </row>
    <row r="5" hidden="1">
      <c r="C5" s="25"/>
      <c r="D5" s="25"/>
      <c r="E5" s="25"/>
      <c r="F5" s="26"/>
    </row>
    <row r="6" ht="39.75" customHeight="1">
      <c r="B6" s="27" t="s">
        <v>133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6"/>
    </row>
    <row r="7" ht="9.75" customHeight="1">
      <c r="A7" s="28"/>
      <c r="B7" s="28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ht="9.75" customHeight="1">
      <c r="B8" s="30"/>
      <c r="C8" s="31"/>
      <c r="D8" s="31"/>
      <c r="E8" s="31"/>
      <c r="F8" s="32"/>
      <c r="G8" s="33"/>
      <c r="H8" s="33"/>
      <c r="I8" s="33"/>
      <c r="J8" s="33"/>
      <c r="K8" s="33"/>
      <c r="L8" s="33"/>
      <c r="M8" s="33"/>
      <c r="N8" s="33"/>
      <c r="O8" s="33"/>
      <c r="P8" s="34"/>
      <c r="Q8" s="28"/>
    </row>
    <row r="9" ht="30.0" customHeight="1">
      <c r="B9" s="35"/>
      <c r="C9" s="36" t="s">
        <v>1</v>
      </c>
      <c r="D9" s="37"/>
      <c r="E9" s="38" t="s">
        <v>134</v>
      </c>
      <c r="F9" s="6"/>
      <c r="G9" s="37"/>
      <c r="H9" s="38" t="s">
        <v>11</v>
      </c>
      <c r="I9" s="6"/>
      <c r="J9" s="39"/>
      <c r="K9" s="39"/>
      <c r="L9" s="39"/>
      <c r="M9" s="39"/>
      <c r="N9" s="39"/>
      <c r="O9" s="39"/>
      <c r="P9" s="40"/>
      <c r="Q9" s="28"/>
    </row>
    <row r="10" ht="30.0" customHeight="1">
      <c r="B10" s="35"/>
      <c r="C10" s="41" t="s">
        <v>135</v>
      </c>
      <c r="D10" s="42"/>
      <c r="E10" s="43" t="str">
        <f>VLOOKUP(C10,'Formato descripción HU'!B6:O23,5,0)</f>
        <v>#N/A</v>
      </c>
      <c r="F10" s="6"/>
      <c r="G10" s="44"/>
      <c r="H10" s="43" t="str">
        <f>VLOOKUP(C10,'Formato descripción HU'!B6:O23,11,0)</f>
        <v>#N/A</v>
      </c>
      <c r="I10" s="6"/>
      <c r="J10" s="44"/>
      <c r="K10" s="39"/>
      <c r="L10" s="39"/>
      <c r="M10" s="39"/>
      <c r="N10" s="39"/>
      <c r="O10" s="39"/>
      <c r="P10" s="40"/>
      <c r="Q10" s="28"/>
    </row>
    <row r="11" ht="9.75" customHeight="1">
      <c r="A11" s="28"/>
      <c r="B11" s="35"/>
      <c r="C11" s="45"/>
      <c r="D11" s="42"/>
      <c r="E11" s="46"/>
      <c r="F11" s="46"/>
      <c r="G11" s="44"/>
      <c r="H11" s="46"/>
      <c r="I11" s="46"/>
      <c r="J11" s="44"/>
      <c r="K11" s="46"/>
      <c r="L11" s="46"/>
      <c r="M11" s="39"/>
      <c r="N11" s="46"/>
      <c r="O11" s="46"/>
      <c r="P11" s="40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ht="30.0" customHeight="1">
      <c r="A12" s="28"/>
      <c r="B12" s="35"/>
      <c r="C12" s="36" t="s">
        <v>136</v>
      </c>
      <c r="D12" s="42"/>
      <c r="E12" s="38" t="s">
        <v>10</v>
      </c>
      <c r="F12" s="6"/>
      <c r="G12" s="44"/>
      <c r="H12" s="38" t="s">
        <v>137</v>
      </c>
      <c r="I12" s="6"/>
      <c r="J12" s="44"/>
      <c r="K12" s="46"/>
      <c r="L12" s="46"/>
      <c r="M12" s="39"/>
      <c r="N12" s="46"/>
      <c r="O12" s="46"/>
      <c r="P12" s="40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ht="30.0" customHeight="1">
      <c r="A13" s="28"/>
      <c r="B13" s="35"/>
      <c r="C13" s="47" t="str">
        <f>VLOOKUP('Historia de Usuario'!C10,'Formato descripción HU'!B6:O23,8,0)</f>
        <v>#N/A</v>
      </c>
      <c r="D13" s="42"/>
      <c r="E13" s="43" t="str">
        <f>VLOOKUP(C10,'Formato descripción HU'!B6:O23,10,0)</f>
        <v>#N/A</v>
      </c>
      <c r="F13" s="6"/>
      <c r="G13" s="44"/>
      <c r="H13" s="43" t="str">
        <f>VLOOKUP(C10,'Formato descripción HU'!B6:O23,7,0)</f>
        <v>#N/A</v>
      </c>
      <c r="I13" s="6"/>
      <c r="J13" s="44"/>
      <c r="K13" s="46"/>
      <c r="L13" s="46"/>
      <c r="M13" s="39"/>
      <c r="N13" s="46"/>
      <c r="O13" s="46"/>
      <c r="P13" s="40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ht="9.75" customHeight="1">
      <c r="A14" s="28"/>
      <c r="B14" s="35"/>
      <c r="C14" s="39"/>
      <c r="D14" s="42"/>
      <c r="E14" s="39"/>
      <c r="F14" s="39"/>
      <c r="G14" s="44"/>
      <c r="H14" s="44"/>
      <c r="I14" s="39"/>
      <c r="J14" s="39"/>
      <c r="K14" s="39"/>
      <c r="L14" s="39"/>
      <c r="M14" s="39"/>
      <c r="N14" s="39"/>
      <c r="O14" s="39"/>
      <c r="P14" s="40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ht="19.5" customHeight="1">
      <c r="A15" s="28"/>
      <c r="B15" s="35"/>
      <c r="C15" s="48" t="s">
        <v>138</v>
      </c>
      <c r="D15" s="49" t="str">
        <f>VLOOKUP(C10,'Formato descripción HU'!B6:O23,3,0)</f>
        <v>#N/A</v>
      </c>
      <c r="E15" s="50"/>
      <c r="F15" s="51"/>
      <c r="G15" s="48" t="s">
        <v>139</v>
      </c>
      <c r="H15" s="49" t="str">
        <f>VLOOKUP(C10,'Formato descripción HU'!B6:O23,4,0)</f>
        <v>#N/A</v>
      </c>
      <c r="I15" s="52"/>
      <c r="J15" s="50"/>
      <c r="K15" s="51"/>
      <c r="L15" s="48" t="s">
        <v>140</v>
      </c>
      <c r="M15" s="53" t="str">
        <f>VLOOKUP(C10,'Formato descripción HU'!B6:O23,6,0)</f>
        <v>#N/A</v>
      </c>
      <c r="N15" s="52"/>
      <c r="O15" s="50"/>
      <c r="P15" s="40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ht="19.5" customHeight="1">
      <c r="A16" s="28"/>
      <c r="B16" s="35"/>
      <c r="C16" s="54"/>
      <c r="D16" s="55"/>
      <c r="E16" s="56"/>
      <c r="F16" s="51"/>
      <c r="G16" s="54"/>
      <c r="H16" s="55"/>
      <c r="J16" s="56"/>
      <c r="K16" s="51"/>
      <c r="L16" s="54"/>
      <c r="M16" s="55"/>
      <c r="O16" s="56"/>
      <c r="P16" s="40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ht="42.0" customHeight="1">
      <c r="A17" s="28"/>
      <c r="B17" s="35"/>
      <c r="C17" s="57"/>
      <c r="D17" s="58"/>
      <c r="E17" s="59"/>
      <c r="F17" s="51"/>
      <c r="G17" s="57"/>
      <c r="H17" s="58"/>
      <c r="I17" s="60"/>
      <c r="J17" s="59"/>
      <c r="K17" s="51"/>
      <c r="L17" s="57"/>
      <c r="M17" s="58"/>
      <c r="N17" s="60"/>
      <c r="O17" s="59"/>
      <c r="P17" s="40"/>
      <c r="Q17" s="28"/>
      <c r="R17" s="61" t="s">
        <v>141</v>
      </c>
      <c r="S17" s="28"/>
      <c r="T17" s="28"/>
      <c r="U17" s="28"/>
      <c r="V17" s="28"/>
      <c r="W17" s="28"/>
      <c r="X17" s="28"/>
      <c r="Y17" s="28"/>
      <c r="Z17" s="28"/>
    </row>
    <row r="18" ht="9.75" customHeight="1">
      <c r="A18" s="28"/>
      <c r="B18" s="35"/>
      <c r="C18" s="39"/>
      <c r="D18" s="39"/>
      <c r="E18" s="39"/>
      <c r="F18" s="39"/>
      <c r="G18" s="44"/>
      <c r="H18" s="44"/>
      <c r="I18" s="44"/>
      <c r="J18" s="39"/>
      <c r="K18" s="39"/>
      <c r="L18" s="39"/>
      <c r="M18" s="39"/>
      <c r="N18" s="39"/>
      <c r="O18" s="39"/>
      <c r="P18" s="40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ht="19.5" customHeight="1">
      <c r="B19" s="35"/>
      <c r="C19" s="62" t="s">
        <v>142</v>
      </c>
      <c r="D19" s="50"/>
      <c r="E19" s="63" t="str">
        <f>VLOOKUP(C10,'Formato descripción HU'!B6:O23,14,0)</f>
        <v>#N/A</v>
      </c>
      <c r="F19" s="64"/>
      <c r="G19" s="64"/>
      <c r="H19" s="64"/>
      <c r="I19" s="64"/>
      <c r="J19" s="64"/>
      <c r="K19" s="64"/>
      <c r="L19" s="64"/>
      <c r="M19" s="64"/>
      <c r="N19" s="64"/>
      <c r="O19" s="65"/>
      <c r="P19" s="40"/>
      <c r="Q19" s="28"/>
    </row>
    <row r="20" ht="19.5" customHeight="1">
      <c r="B20" s="35"/>
      <c r="C20" s="58"/>
      <c r="D20" s="59"/>
      <c r="E20" s="66"/>
      <c r="F20" s="67"/>
      <c r="G20" s="67"/>
      <c r="H20" s="67"/>
      <c r="I20" s="67"/>
      <c r="J20" s="67"/>
      <c r="K20" s="67"/>
      <c r="L20" s="67"/>
      <c r="M20" s="67"/>
      <c r="N20" s="67"/>
      <c r="O20" s="68"/>
      <c r="P20" s="40"/>
      <c r="Q20" s="28"/>
    </row>
    <row r="21" ht="9.75" customHeight="1">
      <c r="B21" s="35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40"/>
      <c r="Q21" s="28"/>
    </row>
    <row r="22" ht="19.5" customHeight="1">
      <c r="A22" s="28"/>
      <c r="B22" s="35"/>
      <c r="C22" s="69" t="s">
        <v>143</v>
      </c>
      <c r="D22" s="50"/>
      <c r="E22" s="70" t="str">
        <f>VLOOKUP(C10,'Formato descripción HU'!B6:O23,12,0)</f>
        <v>#N/A</v>
      </c>
      <c r="F22" s="52"/>
      <c r="G22" s="52"/>
      <c r="H22" s="50"/>
      <c r="I22" s="39"/>
      <c r="J22" s="69" t="s">
        <v>13</v>
      </c>
      <c r="K22" s="50"/>
      <c r="L22" s="49" t="str">
        <f>VLOOKUP(C10,'Formato descripción HU'!B6:O23,13,0)</f>
        <v>#N/A</v>
      </c>
      <c r="M22" s="52"/>
      <c r="N22" s="52"/>
      <c r="O22" s="50"/>
      <c r="P22" s="40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9.5" customHeight="1">
      <c r="A23" s="28"/>
      <c r="B23" s="35"/>
      <c r="C23" s="55"/>
      <c r="D23" s="56"/>
      <c r="E23" s="55"/>
      <c r="H23" s="56"/>
      <c r="I23" s="39"/>
      <c r="J23" s="55"/>
      <c r="K23" s="56"/>
      <c r="L23" s="55"/>
      <c r="O23" s="56"/>
      <c r="P23" s="40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ht="19.5" customHeight="1">
      <c r="A24" s="28"/>
      <c r="B24" s="35"/>
      <c r="C24" s="58"/>
      <c r="D24" s="59"/>
      <c r="E24" s="58"/>
      <c r="F24" s="60"/>
      <c r="G24" s="60"/>
      <c r="H24" s="59"/>
      <c r="I24" s="39"/>
      <c r="J24" s="58"/>
      <c r="K24" s="59"/>
      <c r="L24" s="58"/>
      <c r="M24" s="60"/>
      <c r="N24" s="60"/>
      <c r="O24" s="59"/>
      <c r="P24" s="40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ht="9.75" customHeight="1">
      <c r="A25" s="28"/>
      <c r="B25" s="71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3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ht="19.5" customHeigh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ht="19.5" customHeigh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ht="19.5" customHeight="1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ht="19.5" customHeight="1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ht="19.5" customHeight="1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ht="19.5" customHeight="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ht="19.5" customHeight="1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ht="19.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ht="19.5" customHeight="1"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</row>
    <row r="35" ht="19.5" customHeight="1"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</row>
    <row r="36" ht="19.5" customHeight="1"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</row>
    <row r="37" ht="19.5" customHeight="1"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</row>
    <row r="38" ht="19.5" customHeight="1"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</row>
    <row r="39" ht="19.5" customHeight="1"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</row>
    <row r="40" ht="19.5" customHeight="1"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</row>
    <row r="41" ht="19.5" customHeight="1"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</row>
    <row r="42" ht="19.5" customHeight="1"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</row>
    <row r="43" ht="19.5" customHeight="1"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</row>
    <row r="44" ht="19.5" customHeight="1"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</row>
    <row r="45" ht="19.5" customHeight="1"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</row>
    <row r="46" ht="19.5" customHeight="1"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</row>
    <row r="47" ht="19.5" customHeight="1"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</row>
    <row r="48" ht="19.5" customHeight="1"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</row>
    <row r="49" ht="19.5" customHeight="1"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</row>
    <row r="50" ht="19.5" customHeight="1"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</row>
    <row r="51" ht="19.5" customHeight="1"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</row>
    <row r="52" ht="19.5" customHeight="1"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</row>
    <row r="53" ht="19.5" customHeight="1"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</row>
    <row r="54" ht="19.5" customHeight="1"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ht="15.75" customHeight="1"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B6:P6"/>
    <mergeCell ref="E9:F9"/>
    <mergeCell ref="H9:I9"/>
    <mergeCell ref="E10:F10"/>
    <mergeCell ref="H10:I10"/>
    <mergeCell ref="E12:F12"/>
    <mergeCell ref="E13:F13"/>
    <mergeCell ref="C15:C17"/>
    <mergeCell ref="C19:D20"/>
    <mergeCell ref="C22:D24"/>
    <mergeCell ref="E22:H24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</mergeCells>
  <conditionalFormatting sqref="H10:I11">
    <cfRule type="cellIs" dxfId="0" priority="1" operator="equal">
      <formula>"Atrasado"</formula>
    </cfRule>
  </conditionalFormatting>
  <conditionalFormatting sqref="H10:I11">
    <cfRule type="cellIs" dxfId="1" priority="2" operator="equal">
      <formula>"Terminado"</formula>
    </cfRule>
  </conditionalFormatting>
  <conditionalFormatting sqref="H10:I11">
    <cfRule type="cellIs" dxfId="2" priority="3" operator="equal">
      <formula>"En proceso"</formula>
    </cfRule>
  </conditionalFormatting>
  <conditionalFormatting sqref="H10:I11">
    <cfRule type="cellIs" dxfId="1" priority="4" operator="equal">
      <formula>"No Iniciado"</formula>
    </cfRule>
  </conditionalFormatting>
  <dataValidations>
    <dataValidation type="list" allowBlank="1" showErrorMessage="1" sqref="C10:C11">
      <formula1>'Formato descripción HU'!$B$6:$B$23</formula1>
    </dataValidation>
  </dataValidations>
  <printOptions horizontalCentered="1"/>
  <pageMargins bottom="0.7480314960629921" footer="0.0" header="0.0" left="0.7086614173228347" right="0.7086614173228347" top="0.7480314960629921"/>
  <pageSetup paperSize="9" orientation="landscape"/>
  <drawing r:id="rId1"/>
</worksheet>
</file>