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<sst xmlns="http://schemas.openxmlformats.org/spreadsheetml/2006/main" count="323" uniqueCount="232">
  <si>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</si>
  <si>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</si>
  <si>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</si>
  <si>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</si>
  <si>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</si>
  <si>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</si>
  <si>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</si>
  <si>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</si>
  <si>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</si>
  <si>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</si>
  <si>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</si>
  <si>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</si>
  <si>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</si>
  <si>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</si>
  <si>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</si>
  <si>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RF02</t>
  </si>
  <si>
    <t>Los usuarios no tienen un mecanismo seguro para ingresar al sistema y diferenciar sus roles.</t>
  </si>
  <si>
    <t>Implementar autenticación basada en credenciales según el tipo de usuario.</t>
  </si>
  <si>
    <t>Permitir el acceso seguro, evitar suplantación y dirigir a cada rol al módulo correspondiente.</t>
  </si>
  <si>
    <t>Jefe de Ticketera, Contadora, Staff.</t>
  </si>
  <si>
    <t>El sistema muestra un formulario de inicio de sesión donde el usuario ingresa sus credenciales. Según el rol, el sistema valida la información, crea una sesión segura y redirige al usuario a la interfaz correspondiente, asegurando que solo acceda a las funciones autorizadas.</t>
  </si>
  <si>
    <t>David Moran</t>
  </si>
  <si>
    <t>6h</t>
  </si>
  <si>
    <t>Alta</t>
  </si>
  <si>
    <t>Terminado</t>
  </si>
  <si>
    <t>Probar login válido y erróneo, verificar redirección por rol.</t>
  </si>
  <si>
    <t>La descripción se basó en el CU-002 del PDF, donde se definen roles y validaciones necesarias para garantizar seguridad. El problema y la necesidad reflejan que todo el sistema depende de un acceso seguro. Las tareas describen exactamente el flujo indicado en el documento.</t>
  </si>
  <si>
    <t>Acceder al Sistema</t>
  </si>
  <si>
    <t>RF01</t>
  </si>
  <si>
    <t>El sistema no dispone de los datos oficiales del staff para validaciones posteriores.</t>
  </si>
  <si>
    <t>Cargar archivo Excel con nombres, correos, cédulas y totales del personal.</t>
  </si>
  <si>
    <t>Permitir que el sistema identifique a cada trabajador y pueda validar sus facturas.</t>
  </si>
  <si>
    <t>Jefe de Ticketera.</t>
  </si>
  <si>
    <t>El usuario selecciona el evento y carga el archivo Excel correspondiente. El sistema verifica que el archivo cumpla con el formato establecido, procesa la información del personal, extrae los datos relevantes y los almacena en la base para habilitar las validaciones posteriores.</t>
  </si>
  <si>
    <t>5h</t>
  </si>
  <si>
    <t>Intentar subir Excel válido y uno con formato incorrecto</t>
  </si>
  <si>
    <t>Se justificó la necesidad porque el PDF indica que sin el archivo de asistencia el staff no puede usar el sistema. Las tareas siguen el flujo: cargar Excel → validar → extraer → guardar. Todo esto está descrito en los RF del documento.</t>
  </si>
  <si>
    <t>Importar archivo Excel del Staff</t>
  </si>
  <si>
    <t>RF05</t>
  </si>
  <si>
    <t>No existe registro digital de los comprobantes que presenta el staff.</t>
  </si>
  <si>
    <t>Registrar los datos escritos de la factura o nota de venta.</t>
  </si>
  <si>
    <t>Crear un expediente digital del comprobante para validación y control.</t>
  </si>
  <si>
    <t>Staff</t>
  </si>
  <si>
    <t>El trabajador llena la Forma 1 ingresando los datos de la factura. El sistema revisa que la información esté completa y correcta, registra el comprobante, lo asocia al usuario y al evento, y lo deja disponible para los procesos de validación posteriores.</t>
  </si>
  <si>
    <t>Registrar factura con datos correctos/incorrectos y verificar respuesta</t>
  </si>
  <si>
    <t>La lógica se tomó del flujo de registro de facturas del PDF. Se explica el problema porque sin registrar el comprobante no puede iniciarse ninguna validación. Las tareas siguen el orden de Forma 1 → validación → registro.</t>
  </si>
  <si>
    <t>Registrar nota de venta/factura</t>
  </si>
  <si>
    <t>RF06</t>
  </si>
  <si>
    <t>No existe una evidencia visual del comprobante para validación contable.</t>
  </si>
  <si>
    <t>Subir imagen o PDF del documento real.</t>
  </si>
  <si>
    <t>Permitir la verificación documental y resguardar evidencia en Drive.</t>
  </si>
  <si>
    <t>El usuario selecciona el archivo del comprobante y lo sube al sistema. Este valida el formato, almacena el documento en la carpeta correspondiente del Drive, genera un enlace de acceso y lo vincula al registro del comprobante para ser utilizado en verificaciones.</t>
  </si>
  <si>
    <t>4h</t>
  </si>
  <si>
    <t>Subir archivos permitidos y no permitidos para verificar manejo.</t>
  </si>
  <si>
    <t>El documento enfatiza que la evidencia debe almacenarse con permiso del dueño del Drive. Por eso, el “cómo” menciona Drive y la estructura del archivo. El problema y la solución se alinean con lo que exige la contadora y el jefe de ticketera.</t>
  </si>
  <si>
    <t>Cargar documento/imagen de factura</t>
  </si>
  <si>
    <t>RF07</t>
  </si>
  <si>
    <t>Puede existir incoherencia entre lo declarado por el staff y lo registrado oficialmente.</t>
  </si>
  <si>
    <t>Comparar datos de la factura ingresada con los del Excel.</t>
  </si>
  <si>
    <t>Validar que el gasto pertenece realmente al trabajador.</t>
  </si>
  <si>
    <t>Jefe de Ticketera, Contadora.</t>
  </si>
  <si>
    <t>El sistema obtiene los datos registrados en la Forma 1 y los compara con la información oficial proveniente del archivo Excel del evento. Se verifica coincidencia en campos como cédula, nombre y monto, y en función de la comparación se asigna un estado que indica si el comprobante es válido o presenta inconsistencias.</t>
  </si>
  <si>
    <t>Usar factura con datos coincidentes y otra con errores para validar alertas.</t>
  </si>
  <si>
    <t>La comparación entre Excel y forma 1 es una parte crítica del proceso de validación que menciona el PDF. Por eso, se justificó esta validación como esencial previa al pago. Las tareas se basan literalmente en el proceso comparativo descrito.</t>
  </si>
  <si>
    <t>Comparar factura vs Excel</t>
  </si>
  <si>
    <t>RF08</t>
  </si>
  <si>
    <t>La información escrita por el staff podría no coincidir con la factura real.</t>
  </si>
  <si>
    <t>Comparar los datos de la forma ingresada con el documento subido.</t>
  </si>
  <si>
    <t>Validar que la información no sea manipulada o incorrecta.</t>
  </si>
  <si>
    <t>El sistema analiza los datos ingresados en la Forma 1 y los confronta con la información extraída del documento o imagen subida. Verifica que proveedor, fecha, monto y demás campos coincidan, y determina si el comprobante es confiable o requiere correcciones.</t>
  </si>
  <si>
    <t>Probar con imagen real y una con datos alterados.</t>
  </si>
  <si>
    <t>Justificado porque el PDF exige validar que la información reportada coincida con el documento real. El “cómo” detalla las tareas de extracción y comparación que se mencionan en el caso de uso correspondiente.</t>
  </si>
  <si>
    <t>Comparar forma vs documento/imagen</t>
  </si>
  <si>
    <t>RF13</t>
  </si>
  <si>
    <t>El staff no puede conocer si su comprobante fue validado o rechazado.</t>
  </si>
  <si>
    <t>Mostrar estado del comprobante registrado.</t>
  </si>
  <si>
    <t>Informar al usuario sobre el avance del proceso.</t>
  </si>
  <si>
    <t>El usuario accede a la opción de consulta y el sistema recupera el estado actual del comprobante desde la base de datos. Luego muestra al usuario si su comprobante está aprobado, pendiente o rechazado, permitiéndole conocer el avance de su proceso.</t>
  </si>
  <si>
    <t>3h</t>
  </si>
  <si>
    <t>Cambiar estado manualmente y verificar visualización.</t>
  </si>
  <si>
    <t>Derivado del proceso donde el staff debe ver si su comprobante fue aceptado según las validaciones previas. La descripción se alinea con los estados definidos en el documento (pendiente, aprobado, rechazado).</t>
  </si>
  <si>
    <t>Consultar estado de comprobante</t>
  </si>
  <si>
    <t>RF14</t>
  </si>
  <si>
    <t>Los trabajadores no saben si su pago por evento fue procesado.</t>
  </si>
  <si>
    <t>Mostrar estado de pago actual.</t>
  </si>
  <si>
    <t>Brindar claridad sobre pagos pendientes o realizados.</t>
  </si>
  <si>
    <t>El sistema obtiene el estado del pago asociado al evento del usuario y lo muestra claramente en pantalla. El trabajador puede visualizar si el pago está pendiente o ya fue procesado, manteniendo la trazabilidad del proceso de compensación.</t>
  </si>
  <si>
    <t>Simular cambio de estado en BD y revisar actualización.</t>
  </si>
  <si>
    <t>Se justificó porque el documento de RF menciona que el staff debe conocer el estado de su pago. Este RF depende del flujo de validación y del proceso de pago, por eso se explica en los comentarios. Las tareas corresponden exactamente al CU de consulta.</t>
  </si>
  <si>
    <t>Consultar estado de pago</t>
  </si>
  <si>
    <t>RF15</t>
  </si>
  <si>
    <t>La contadora necesita una forma sistemática de procesar los pagos al staff</t>
  </si>
  <si>
    <t>Generar una lista de pagos pendientes de staff</t>
  </si>
  <si>
    <t>Mantener un control contable preciso</t>
  </si>
  <si>
    <t>El sistema permitirá a la Contadora visualizar una lista de pagos pendientes generada a partir de las notas de venta registradas, ofreciendo filtros por evento y staff. Se podrá seleccionar un pago específico, cargar el archivo del comprobante digital y confirmar la operación.</t>
  </si>
  <si>
    <t>Samir Mideros</t>
  </si>
  <si>
    <t>14h</t>
  </si>
  <si>
    <t>Cargar un comprobante válido y notificarlo</t>
  </si>
  <si>
    <t>El RF15 establece el cierre del ciclo de remuneración. Este RF depende del registro previo de facturas o notas de venta validadas. Las tareas corresponden exactamente al flujo de ejecución y actualización de pagos descrito en el documento.</t>
  </si>
  <si>
    <t>Ejecución y confirmación de pagos pendientes al Staff.</t>
  </si>
  <si>
    <t>RF16</t>
  </si>
  <si>
    <t>La contadora verifica pagos excepcionales que no provienen de una nota de venta.</t>
  </si>
  <si>
    <t>Registrar un pago directo a un staff</t>
  </si>
  <si>
    <t>Optimizar la gestión de pagos para cubrir casos no estándar</t>
  </si>
  <si>
    <t>Contadora</t>
  </si>
  <si>
    <t>El sistema proporcionará un formulario de pago manual donde la Contadora podrá seleccionar a un miembro del staff, ingresar el monto y el concepto del pago, y adjuntar el comprobante correspondiente. Al guardar, el sistema creará un nuevo registro de pago con estado "Pagado" directamente en el historial del staff.</t>
  </si>
  <si>
    <t>8h</t>
  </si>
  <si>
    <t xml:space="preserve">Media </t>
  </si>
  <si>
    <t>Registrar el pago manual con comprobante</t>
  </si>
  <si>
    <t>Permite manejar excepciones financieras no contempladas en el flujo automático. Depende únicamente de que el staff esté registrado en el sistema. Las tareas corresponden a la creación de un registro de pago ad-hoc.</t>
  </si>
  <si>
    <t>Registro de pagos manuales o excepcionales al Staff.</t>
  </si>
  <si>
    <t>RF17</t>
  </si>
  <si>
    <t>Errores manuales pueden causar que un estado de pago sea incorrecto y requiera corrección rápida.</t>
  </si>
  <si>
    <t>Modificar el estado de un pago.</t>
  </si>
  <si>
    <t>Corregir errores administrativos y mantener la integridad de los datos de forma ágil.</t>
  </si>
  <si>
    <t>El sistema habilitará una opción de edición rápida sobre los registros de pago existentes, permitiendo a la Contadora cambiar manualmente el estado para corregir discrepancias, guardando el cambio inmediatamente en la base de datos sin exigir la recarga de documentos adjuntos.</t>
  </si>
  <si>
    <t>Actualizar el registro y reflejarlo en los reportes.</t>
  </si>
  <si>
    <t>El RF17 aborda la necesidad de corrección de datos administrativos. Este RF depende de la existencia previa de un registro de pago. Las tareas corresponden a la funcionalidad de edición de estados descrita.</t>
  </si>
  <si>
    <t>Edicion manual de estados de pago</t>
  </si>
  <si>
    <t>RF12</t>
  </si>
  <si>
    <t>La falta de información bancaria, ralentiza el proceso de transferencias al staff.</t>
  </si>
  <si>
    <t>Guardar los datos bancarios en el perfil de cada miembro del staff.</t>
  </si>
  <si>
    <t>Automatizar y facilitar la dispersión de pagos teniendo la información disponible y validada.</t>
  </si>
  <si>
    <t>Jefe de ticketera, Contadora</t>
  </si>
  <si>
    <t>Se dispondrá de una sección dentro del perfil de cada miembro del Staff donde el usuario autorizado podrá ingresar y editar los detalles financieros, incluyendo nombre del banco, tipo de cuenta y número de cuenta. El sistema validará el formato de los datos antes de guardarlos y los asociará permanentemente al usuario para futuros pagos.</t>
  </si>
  <si>
    <t>Ingresar datos bancarios válidos y se guardarlos para pagos futuros</t>
  </si>
  <si>
    <t>Se determinó porque el RF12 es un requisito previo indispensable para habilitar los pagos electrónicos. No tiene dependencias previas más que la gestión de usuarios. Las tareas corresponden al registro de datos maestros financieros del personal.</t>
  </si>
  <si>
    <t>Gestión de información bancaria del Staff.</t>
  </si>
  <si>
    <t>RF4</t>
  </si>
  <si>
    <t>La empresa necesita justificar sus salidas de dinero para mantener el balance financiero.</t>
  </si>
  <si>
    <t>Crear registros de gastos operativos</t>
  </si>
  <si>
    <t>Tener un control financiero riguroso y centralizado de todos los egresos de la organización.</t>
  </si>
  <si>
    <t>El sistema ofrecerá un formulario de registro de gastos donde el usuario podrá capturar detalles clave como fecha, monto, concepto y asociación a un evento. Además, permitirá la carga obligatoria de un comprobante digital, almacenando toda esta información como un nuevo registro de egreso en la base de datos contable.</t>
  </si>
  <si>
    <t>9h</t>
  </si>
  <si>
    <t>Ingesar datos de venta y sumarlos al total de egresos del periodo.</t>
  </si>
  <si>
    <t>Se justificó porque el RF04 centraliza la entrada de información financiera del sistema. No depende de otros flujos transaccionales, siendo un proceso primario. Las tareas corresponden a la captura y almacenamiento de egresos y sus comprobantes.</t>
  </si>
  <si>
    <t>Registro general de gastos y comprobantes.</t>
  </si>
  <si>
    <t>RF9</t>
  </si>
  <si>
    <t>Se necesita rastrear en qué se gastó el dinero sin una herramienta de búsqueda y visualización.</t>
  </si>
  <si>
    <t>Gestionar el histórico de gastos registrados en el sistema.</t>
  </si>
  <si>
    <t>Facilitar auditorías, revisiones de presupuesto y análisis de costos históricos.</t>
  </si>
  <si>
    <t>El sistema desplegará una vista general tipo tabla con todos los gastos registrados, implementando herramientas de búsqueda por palabra clave y filtros por rango de fechas o evento asociado. Permitirá al usuario acceder al detalle de cada fila para visualizar la información completa y descargar el comprobante adjunto.</t>
  </si>
  <si>
    <t>7h</t>
  </si>
  <si>
    <t>Filtrar por una fecha específica y mostrar los registros de ese periodo.</t>
  </si>
  <si>
    <t>El RF09 proporciona la visibilidad necesaria para la auditoría financiera. Depende de que existan datos generados por el registro de gastos (RF04). Las tareas corresponden a las funciones de consulta y filtrado requeridas.</t>
  </si>
  <si>
    <t>Consulta y filtrado de historial de gastos.</t>
  </si>
  <si>
    <t>RF3</t>
  </si>
  <si>
    <t>Saber la rentabilidad de un evento específico si sus gastos están mezclados con los generales.</t>
  </si>
  <si>
    <t>Administrar los gastos pertenecientes exclusivamente a un evento.</t>
  </si>
  <si>
    <t>Controlar el presupuesto específico de cada evento y calcular su utilidad real.</t>
  </si>
  <si>
    <t>Jefe de ticketera, Staff</t>
  </si>
  <si>
    <t>El sistema integrará un módulo de gestión de gastos dentro de la vista de cada evento, permitiendo al usuario listar, agregar nuevos gastos vinculados automáticamente a dicho evento, editar detalles de gastos existentes o eliminarlos. El sistema recalculará y mostrará en tiempo real el total de gastos acumulados para ese evento específico.</t>
  </si>
  <si>
    <t>11h</t>
  </si>
  <si>
    <t>Agregar un gasto desde el panely mostrar el aumento según monto ingresado.</t>
  </si>
  <si>
    <t>Exige una segregación contable por unidad de negocio. Depende de la existencia del módulo de Eventos y del registro de gastos. Las tareas corresponden a la administración contextual de gastos dentro de un evento.</t>
  </si>
  <si>
    <t>Gestión controlada de gastos por evento.</t>
  </si>
  <si>
    <t>RF10</t>
  </si>
  <si>
    <t>Existen gastos registrados por error que afectan reportes y deben eliminarse.</t>
  </si>
  <si>
    <t>Eliminar un gasto asociado a un comprobante/factura.</t>
  </si>
  <si>
    <t>Mantener la integridad de la información y evitar duplicidades o datos erróneos.</t>
  </si>
  <si>
    <t>Jefe de Ticketera</t>
  </si>
  <si>
    <t>El proceso inicia con el ingreso del número de comprobante por parte del usuario. A continuación, el sistema verifica la existencia del gasto asociado a dicho comprobante. Si el gasto es localizado, se solicita una confirmación explícita del usuario, dado que se trata de una operación irreversible. Una vez confirmada, el sistema procede a eliminar el gasto correspondiente y actualiza el historial para reflejar el cambio realizado.</t>
  </si>
  <si>
    <t>Gabriel Vivanco</t>
  </si>
  <si>
    <t>Eliminar un gasto y verificar que desaparece de consultas, reportes y del historial general.</t>
  </si>
  <si>
    <t>El número de comprobante es inmutable</t>
  </si>
  <si>
    <t>Eliminar Gastos</t>
  </si>
  <si>
    <t>RF11</t>
  </si>
  <si>
    <t>Información de gastos puede contener errores o requerir actualización.</t>
  </si>
  <si>
    <t>Editar datos de un gasto registrado.</t>
  </si>
  <si>
    <t>Mantener consistencia y exactitud de la información financiera.</t>
  </si>
  <si>
    <t>El proceso comienza con el ingreso del número de comprobante por parte del usuario. El sistema valida la existencia del comprobante y, si es encontrado, despliega los campos correspondientes en formato editable. A continuación, el usuario procede a modificar los datos necesarios. Una vez completada la edición, se solicita una confirmación para aplicar los cambios, tras lo cual el sistema actualiza el historial para reflejar la modificación realizada.</t>
  </si>
  <si>
    <t>Editar campo permitido y validar que el historial registre cambios.</t>
  </si>
  <si>
    <t>No se puede modificar el número de comprobante.</t>
  </si>
  <si>
    <t>Editar Gastos</t>
  </si>
  <si>
    <t>RF18</t>
  </si>
  <si>
    <t>No existe control unificado de canales donde se entregan documentos.</t>
  </si>
  <si>
    <t>Gestionar canales de entrega y todo su flujo.</t>
  </si>
  <si>
    <t>Garantizar trazabilidad y orden en la recepción de documentos.</t>
  </si>
  <si>
    <t>Jefe de Ticketera / Staff</t>
  </si>
  <si>
    <t>El proceso inicia con el registro de los canales disponibles para la gestión documental. Una vez establecidos, se verifica la correcta recepción de los documentos en cada canal, asegurando que hayan sido transmitidos sin errores. Posteriormente, se procede a validar los formatos de los documentos recibidos, garantizando que cumplan con los estándares requeridos. Los documentos válidos se archivan de acuerdo con el canal correspondiente, facilitando su trazabilidad. Finalmente, si se detecta una necesidad de reorganización, el sistema permite la reasignación de documentos entre canales para optimizar su distribución y acceso.</t>
  </si>
  <si>
    <t>12h</t>
  </si>
  <si>
    <t>Registrar un canal, recibir documento, validar archivo y verificar su clasificación correcta.</t>
  </si>
  <si>
    <t>Caso de uso base del módulo de canales.</t>
  </si>
  <si>
    <t>Controlar Canales de Entrega de Documentos</t>
  </si>
  <si>
    <t>RF19</t>
  </si>
  <si>
    <t>No existe un registro formal de canales preferidos para entrega de documentos.</t>
  </si>
  <si>
    <t>Registrar un canal con nombre, identificador y formatos permitidos.</t>
  </si>
  <si>
    <t>Estandarizar la recepción de documentos y evitar errores de formato.</t>
  </si>
  <si>
    <t>El proceso comienza cuando el usuario accede a la opción "Registrar Canal" dentro del sistema. A continuación, se procede a definir los parámetros del nuevo canal, incluyendo su nombre, un identificador único (ID) y los formatos de archivo permitidos, tales como PDF, JPG y PNG. El sistema verifica si el ID ingresado ya existe en la base de datos para evitar duplicidades. Si el ID es válido y no está registrado previamente, el sistema crea el canal y emite una notificación confirmando el registro exitoso.</t>
  </si>
  <si>
    <t>Registrar canal nuevo y verificar que aparece disponible para recepción de documentos.</t>
  </si>
  <si>
    <t>Evita canales duplicados.</t>
  </si>
  <si>
    <t>Registrar Canal de Entrega Preferido</t>
  </si>
  <si>
    <t>RF20</t>
  </si>
  <si>
    <t>Se reciben documentos sin verificar formato ni legibilidad.</t>
  </si>
  <si>
    <t>Validar recepción de documentos según canal.</t>
  </si>
  <si>
    <t>Asegurar documentos correctos y almacenados con trazabilidad.</t>
  </si>
  <si>
    <t>El proceso comienza con la selección del canal correspondiente para la gestión del gasto. Una vez definido, el usuario ingresa los documentos asociados, los cuales son sometidos a una validación automática por parte del sistema, que verifica tanto el formato como la legibilidad de los archivos. Si los documentos cumplen con los criterios establecidos, el sistema procede a almacenarlos de manera segura y emite una notificación confirmando la recepción exitosa</t>
  </si>
  <si>
    <t>Subir documento válido y verificar que queda almacenado en el canal asignado.</t>
  </si>
  <si>
    <t>Requiere canales registrados previamente.</t>
  </si>
  <si>
    <t>Verificar Recepción de Documentos por Canal</t>
  </si>
  <si>
    <t>RF21</t>
  </si>
  <si>
    <t>Los documentos no están organizados de acuerdo al canal donde ingresaron.</t>
  </si>
  <si>
    <t>Archivar documentos automáticamente según el canal.</t>
  </si>
  <si>
    <t>Facilitar reportes, auditoría y organización.</t>
  </si>
  <si>
    <t>Sistema</t>
  </si>
  <si>
    <t>Una vez recibido el documento previamente validado, el sistema procede a identificar el canal asignado para su gestión. Con base en esta clasificación, el documento es archivado automáticamente en el repositorio correspondiente, asegurando su correcta organización y trazabilidad dentro del sistema.</t>
  </si>
  <si>
    <t xml:space="preserve">7h </t>
  </si>
  <si>
    <t>Enviar documento y validar que aparece archivado bajo su canal asignado.</t>
  </si>
  <si>
    <t>No requiere intervención humana.</t>
  </si>
  <si>
    <t>Archivar Documentos Según Canal</t>
  </si>
  <si>
    <t>RF22</t>
  </si>
  <si>
    <t>Documentos pueden estar asignados al canal incorrecto.</t>
  </si>
  <si>
    <t>Reasignar documentos a un nuevo canal.</t>
  </si>
  <si>
    <t>Mantener orden y corregir clasificaciones erróneas.</t>
  </si>
  <si>
    <t>El proceso de reasignación inicia con la selección de la opción correspondiente dentro del sistema. El usuario escoge los documentos que desea trasladar y proporciona el identificador del nuevo canal al que serán asignados. Antes de ejecutar el cambio, el sistema solicita la confirmación de la operación, destacando su carácter irreversible. Una vez validada, se procede a la reasignación automática de los documentos y se emite una notificación confirmando el éxito de la operación.</t>
  </si>
  <si>
    <t>Baja</t>
  </si>
  <si>
    <t>Mover documento entre canales y verificar que aparece correctamente reasignado.</t>
  </si>
  <si>
    <t>Requiere mínimo dos canales registrados.</t>
  </si>
  <si>
    <t>Reasignar Canal de Entrega para un Usuario</t>
  </si>
  <si>
    <t>No iniciado</t>
  </si>
  <si>
    <t>En proceso</t>
  </si>
  <si>
    <t>Atrasado</t>
  </si>
  <si>
    <t>HISTORIA DE USUARIO (HU)</t>
  </si>
  <si>
    <t>USUARIO</t>
  </si>
  <si>
    <t>TIEMPO</t>
  </si>
  <si>
    <t>PROG. RESP</t>
  </si>
  <si>
    <t>QUE</t>
  </si>
  <si>
    <t>PARA QUE</t>
  </si>
  <si>
    <t>COMO</t>
  </si>
  <si>
    <t>º</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</si>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</sst>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0.0"/>
      <color rgb="FF000000"/>
      <name val="Arial Narrow"/>
    </font>
    <font>
      <sz val="10.0"/>
      <color theme="1"/>
      <name val="Arial"/>
      <scheme val="minor"/>
    </font>
    <font>
      <color theme="1"/>
      <name val="Arial"/>
      <scheme val="minor"/>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5" numFmtId="164" xfId="0" applyAlignment="1" applyBorder="1" applyFont="1" applyNumberForma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4" fillId="0" fontId="5" numFmtId="0" xfId="0" applyAlignment="1" applyBorder="1" applyFont="1">
      <alignment horizontal="left" readingOrder="0" shrinkToFit="0" vertical="center" wrapText="1"/>
    </xf>
    <xf borderId="4" fillId="4" fontId="6" numFmtId="0" xfId="0" applyAlignment="1" applyBorder="1" applyFill="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1" numFmtId="0" xfId="0" applyAlignment="1" applyBorder="1" applyFont="1">
      <alignment horizontal="left" readingOrder="0" shrinkToFit="0" wrapText="1"/>
    </xf>
    <xf borderId="4" fillId="0" fontId="1" numFmtId="0" xfId="0" applyAlignment="1" applyBorder="1" applyFont="1">
      <alignment horizontal="left" readingOrder="0"/>
    </xf>
    <xf borderId="0" fillId="0" fontId="7" numFmtId="0" xfId="0" applyAlignment="1" applyFont="1">
      <alignment readingOrder="0"/>
    </xf>
    <xf borderId="4" fillId="0" fontId="5" numFmtId="0" xfId="0" applyAlignment="1" applyBorder="1" applyFont="1">
      <alignment horizontal="center" readingOrder="0" shrinkToFit="0" wrapText="1"/>
    </xf>
    <xf borderId="4" fillId="0" fontId="5" numFmtId="0" xfId="0" applyAlignment="1" applyBorder="1" applyFont="1">
      <alignment readingOrder="0" shrinkToFit="0" vertical="center" wrapText="1"/>
    </xf>
    <xf borderId="4" fillId="0" fontId="8" numFmtId="0" xfId="0" applyAlignment="1" applyBorder="1" applyFont="1">
      <alignment readingOrder="0"/>
    </xf>
    <xf borderId="4" fillId="0" fontId="1" numFmtId="0" xfId="0" applyAlignment="1" applyBorder="1" applyFont="1">
      <alignment horizontal="center" readingOrder="0" shrinkToFit="0" wrapText="1"/>
    </xf>
    <xf borderId="4" fillId="0" fontId="8" numFmtId="0" xfId="0" applyAlignment="1" applyBorder="1" applyFont="1">
      <alignment readingOrder="0" shrinkToFit="0" wrapText="1"/>
    </xf>
    <xf borderId="4" fillId="3" fontId="5" numFmtId="0" xfId="0" applyAlignment="1" applyBorder="1" applyFont="1">
      <alignment readingOrder="0" shrinkToFit="0" vertical="center" wrapText="1"/>
    </xf>
    <xf borderId="0" fillId="0" fontId="9" numFmtId="0" xfId="0" applyAlignment="1" applyFont="1">
      <alignment horizontal="center"/>
    </xf>
    <xf borderId="0" fillId="0" fontId="1" numFmtId="0" xfId="0" applyAlignment="1" applyFont="1">
      <alignment readingOrder="0"/>
    </xf>
    <xf borderId="0" fillId="0" fontId="10" numFmtId="0" xfId="0" applyAlignment="1" applyFont="1">
      <alignment horizontal="left" shrinkToFit="0" vertical="center" wrapText="1"/>
    </xf>
    <xf borderId="0" fillId="0" fontId="11" numFmtId="0" xfId="0" applyFont="1"/>
    <xf borderId="1" fillId="5" fontId="12" numFmtId="0" xfId="0" applyAlignment="1" applyBorder="1" applyFill="1" applyFont="1">
      <alignment horizontal="center" shrinkToFit="0" vertical="center" wrapText="1"/>
    </xf>
    <xf borderId="0" fillId="0" fontId="13" numFmtId="0" xfId="0" applyFont="1"/>
    <xf borderId="0" fillId="0" fontId="10" numFmtId="0" xfId="0" applyAlignment="1" applyFont="1">
      <alignment horizontal="center" shrinkToFit="0" vertical="center" wrapText="1"/>
    </xf>
    <xf borderId="5" fillId="5" fontId="13" numFmtId="0" xfId="0" applyBorder="1" applyFont="1"/>
    <xf borderId="6" fillId="5" fontId="10" numFmtId="0" xfId="0" applyAlignment="1" applyBorder="1" applyFont="1">
      <alignment horizontal="left" shrinkToFit="0" vertical="center" wrapText="1"/>
    </xf>
    <xf borderId="6" fillId="5" fontId="11" numFmtId="0" xfId="0" applyBorder="1" applyFont="1"/>
    <xf borderId="6" fillId="5" fontId="13" numFmtId="0" xfId="0" applyBorder="1" applyFont="1"/>
    <xf borderId="7" fillId="5" fontId="13" numFmtId="0" xfId="0" applyBorder="1" applyFont="1"/>
    <xf borderId="8" fillId="5" fontId="13" numFmtId="0" xfId="0" applyBorder="1" applyFont="1"/>
    <xf borderId="4" fillId="6" fontId="14" numFmtId="0" xfId="0" applyAlignment="1" applyBorder="1" applyFill="1" applyFont="1">
      <alignment horizontal="center" vertical="center"/>
    </xf>
    <xf borderId="9" fillId="5" fontId="15" numFmtId="0" xfId="0" applyAlignment="1" applyBorder="1" applyFont="1">
      <alignment vertical="center"/>
    </xf>
    <xf borderId="1" fillId="6" fontId="14" numFmtId="0" xfId="0" applyAlignment="1" applyBorder="1" applyFont="1">
      <alignment horizontal="center" vertical="center"/>
    </xf>
    <xf borderId="9" fillId="5" fontId="13" numFmtId="0" xfId="0" applyBorder="1" applyFont="1"/>
    <xf borderId="10" fillId="5" fontId="13" numFmtId="0" xfId="0" applyBorder="1" applyFont="1"/>
    <xf borderId="4" fillId="7" fontId="16" numFmtId="0" xfId="0" applyAlignment="1" applyBorder="1" applyFill="1" applyFont="1">
      <alignment horizontal="center" readingOrder="0" vertical="center"/>
    </xf>
    <xf borderId="9" fillId="5" fontId="11" numFmtId="0" xfId="0" applyAlignment="1" applyBorder="1" applyFont="1">
      <alignment shrinkToFit="0" vertical="center" wrapText="1"/>
    </xf>
    <xf borderId="1" fillId="7" fontId="11" numFmtId="0" xfId="0" applyAlignment="1" applyBorder="1" applyFont="1">
      <alignment horizontal="center" vertical="center"/>
    </xf>
    <xf borderId="9" fillId="5" fontId="11" numFmtId="0" xfId="0" applyAlignment="1" applyBorder="1" applyFont="1">
      <alignment vertical="center"/>
    </xf>
    <xf borderId="9" fillId="5" fontId="16" numFmtId="0" xfId="0" applyAlignment="1" applyBorder="1" applyFont="1">
      <alignment horizontal="center" vertical="center"/>
    </xf>
    <xf borderId="9" fillId="5" fontId="11" numFmtId="0" xfId="0" applyAlignment="1" applyBorder="1" applyFont="1">
      <alignment horizontal="center" vertical="center"/>
    </xf>
    <xf borderId="4" fillId="7" fontId="16" numFmtId="0" xfId="0" applyAlignment="1" applyBorder="1" applyFont="1">
      <alignment horizontal="center" vertical="center"/>
    </xf>
    <xf borderId="11" fillId="8" fontId="14" numFmtId="0" xfId="0" applyAlignment="1" applyBorder="1" applyFill="1" applyFont="1">
      <alignment horizontal="center" vertical="center"/>
    </xf>
    <xf borderId="12" fillId="7" fontId="11" numFmtId="0" xfId="0" applyAlignment="1" applyBorder="1" applyFont="1">
      <alignment horizontal="center" shrinkToFit="0" vertical="center" wrapText="1"/>
    </xf>
    <xf borderId="13" fillId="0" fontId="3" numFmtId="0" xfId="0" applyBorder="1" applyFont="1"/>
    <xf borderId="9" fillId="5" fontId="13" numFmtId="0" xfId="0" applyAlignment="1" applyBorder="1" applyFont="1">
      <alignment horizontal="center"/>
    </xf>
    <xf borderId="14" fillId="0" fontId="3" numFmtId="0" xfId="0" applyBorder="1" applyFont="1"/>
    <xf borderId="12" fillId="7" fontId="11"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0" fillId="0" fontId="13" numFmtId="0" xfId="0" applyAlignment="1" applyFont="1">
      <alignment readingOrder="0"/>
    </xf>
    <xf borderId="12" fillId="9" fontId="17" numFmtId="0" xfId="0" applyAlignment="1" applyBorder="1" applyFill="1" applyFont="1">
      <alignment horizontal="center" vertical="center"/>
    </xf>
    <xf borderId="22" fillId="2" fontId="16"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4" numFmtId="0" xfId="0" applyAlignment="1" applyBorder="1" applyFont="1">
      <alignment horizontal="center" vertical="center"/>
    </xf>
    <xf borderId="12" fillId="7" fontId="11" numFmtId="49" xfId="0" applyAlignment="1" applyBorder="1" applyFont="1" applyNumberFormat="1">
      <alignment horizontal="left" shrinkToFit="0" vertical="center" wrapText="1"/>
    </xf>
    <xf borderId="28" fillId="5" fontId="13" numFmtId="0" xfId="0" applyBorder="1" applyFont="1"/>
    <xf borderId="29" fillId="5" fontId="13" numFmtId="0" xfId="0" applyBorder="1" applyFont="1"/>
    <xf borderId="30" fillId="5" fontId="13"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63"/>
    <col customWidth="1" min="2" max="2" width="6.63"/>
    <col customWidth="1" min="3" max="5" width="20.63"/>
    <col customWidth="1" min="6" max="6" width="14.63"/>
    <col customWidth="1" min="7" max="7" width="32.5"/>
    <col customWidth="1" min="8" max="12" width="10.63"/>
    <col customWidth="1" min="13" max="13" width="32.75"/>
    <col customWidth="1" min="14" max="15" width="20.63"/>
    <col customWidth="1" min="16" max="26" width="9.38"/>
  </cols>
  <sheetData>
    <row r="1">
      <c r="A1" s="1">
        <v>4.0</v>
      </c>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97.5" customHeight="1">
      <c r="A6" s="1"/>
      <c r="B6" s="8" t="s">
        <v>15</v>
      </c>
      <c r="C6" s="9" t="s">
        <v>16</v>
      </c>
      <c r="D6" s="9" t="s">
        <v>17</v>
      </c>
      <c r="E6" s="9" t="s">
        <v>18</v>
      </c>
      <c r="F6" s="9" t="s">
        <v>19</v>
      </c>
      <c r="G6" s="9" t="s">
        <v>20</v>
      </c>
      <c r="H6" s="9" t="s">
        <v>21</v>
      </c>
      <c r="I6" s="9" t="s">
        <v>22</v>
      </c>
      <c r="J6" s="10">
        <v>45979.0</v>
      </c>
      <c r="K6" s="9" t="s">
        <v>23</v>
      </c>
      <c r="L6" s="9" t="s">
        <v>24</v>
      </c>
      <c r="M6" s="11" t="s">
        <v>25</v>
      </c>
      <c r="N6" s="12" t="s">
        <v>26</v>
      </c>
      <c r="O6" s="9" t="s">
        <v>27</v>
      </c>
      <c r="P6" s="1"/>
      <c r="Q6" s="1"/>
      <c r="R6" s="1"/>
      <c r="S6" s="1"/>
      <c r="T6" s="1"/>
      <c r="U6" s="1"/>
      <c r="V6" s="1"/>
      <c r="W6" s="1"/>
      <c r="X6" s="1"/>
      <c r="Y6" s="1"/>
      <c r="Z6" s="1"/>
    </row>
    <row r="7" ht="112.5" customHeight="1">
      <c r="A7" s="1"/>
      <c r="B7" s="8" t="s">
        <v>28</v>
      </c>
      <c r="C7" s="9" t="s">
        <v>29</v>
      </c>
      <c r="D7" s="9" t="s">
        <v>30</v>
      </c>
      <c r="E7" s="9" t="s">
        <v>31</v>
      </c>
      <c r="F7" s="9" t="s">
        <v>32</v>
      </c>
      <c r="G7" s="13" t="s">
        <v>33</v>
      </c>
      <c r="H7" s="9" t="s">
        <v>21</v>
      </c>
      <c r="I7" s="9" t="s">
        <v>34</v>
      </c>
      <c r="J7" s="10">
        <v>45979.0</v>
      </c>
      <c r="K7" s="9" t="s">
        <v>23</v>
      </c>
      <c r="L7" s="9" t="s">
        <v>24</v>
      </c>
      <c r="M7" s="9" t="s">
        <v>35</v>
      </c>
      <c r="N7" s="12" t="s">
        <v>36</v>
      </c>
      <c r="O7" s="9" t="s">
        <v>37</v>
      </c>
      <c r="P7" s="1"/>
      <c r="Q7" s="1"/>
      <c r="R7" s="1"/>
      <c r="S7" s="1"/>
      <c r="T7" s="1"/>
      <c r="U7" s="1"/>
      <c r="V7" s="1"/>
      <c r="W7" s="1"/>
      <c r="X7" s="1"/>
      <c r="Y7" s="1"/>
      <c r="Z7" s="1"/>
    </row>
    <row r="8" ht="97.5" customHeight="1">
      <c r="A8" s="1"/>
      <c r="B8" s="8" t="s">
        <v>38</v>
      </c>
      <c r="C8" s="9" t="s">
        <v>39</v>
      </c>
      <c r="D8" s="9" t="s">
        <v>40</v>
      </c>
      <c r="E8" s="9" t="s">
        <v>41</v>
      </c>
      <c r="F8" s="9" t="s">
        <v>42</v>
      </c>
      <c r="G8" s="13" t="s">
        <v>43</v>
      </c>
      <c r="H8" s="9" t="s">
        <v>21</v>
      </c>
      <c r="I8" s="9" t="s">
        <v>22</v>
      </c>
      <c r="J8" s="10">
        <v>45979.0</v>
      </c>
      <c r="K8" s="9" t="s">
        <v>23</v>
      </c>
      <c r="L8" s="9" t="s">
        <v>24</v>
      </c>
      <c r="M8" s="9" t="s">
        <v>44</v>
      </c>
      <c r="N8" s="12" t="s">
        <v>45</v>
      </c>
      <c r="O8" s="9" t="s">
        <v>46</v>
      </c>
      <c r="P8" s="1"/>
      <c r="Q8" s="1"/>
      <c r="R8" s="1"/>
      <c r="S8" s="1"/>
      <c r="T8" s="1"/>
      <c r="U8" s="1"/>
      <c r="V8" s="1"/>
      <c r="W8" s="1"/>
      <c r="X8" s="1"/>
      <c r="Y8" s="1"/>
      <c r="Z8" s="1"/>
    </row>
    <row r="9" ht="75.75" customHeight="1">
      <c r="A9" s="1"/>
      <c r="B9" s="8" t="s">
        <v>47</v>
      </c>
      <c r="C9" s="9" t="s">
        <v>48</v>
      </c>
      <c r="D9" s="13" t="s">
        <v>49</v>
      </c>
      <c r="E9" s="9" t="s">
        <v>50</v>
      </c>
      <c r="F9" s="9" t="s">
        <v>42</v>
      </c>
      <c r="G9" s="13" t="s">
        <v>51</v>
      </c>
      <c r="H9" s="9" t="s">
        <v>21</v>
      </c>
      <c r="I9" s="9" t="s">
        <v>52</v>
      </c>
      <c r="J9" s="10">
        <v>45979.0</v>
      </c>
      <c r="K9" s="9" t="s">
        <v>23</v>
      </c>
      <c r="L9" s="9" t="s">
        <v>24</v>
      </c>
      <c r="M9" s="9" t="s">
        <v>53</v>
      </c>
      <c r="N9" s="12" t="s">
        <v>54</v>
      </c>
      <c r="O9" s="9" t="s">
        <v>55</v>
      </c>
      <c r="P9" s="1"/>
      <c r="Q9" s="1"/>
      <c r="R9" s="1"/>
      <c r="S9" s="1"/>
      <c r="T9" s="1"/>
      <c r="U9" s="1"/>
      <c r="V9" s="1"/>
      <c r="W9" s="1"/>
      <c r="X9" s="1"/>
      <c r="Y9" s="1"/>
      <c r="Z9" s="1"/>
    </row>
    <row r="10" ht="98.25" customHeight="1">
      <c r="A10" s="1"/>
      <c r="B10" s="8" t="s">
        <v>56</v>
      </c>
      <c r="C10" s="9" t="s">
        <v>57</v>
      </c>
      <c r="D10" s="9" t="s">
        <v>58</v>
      </c>
      <c r="E10" s="9" t="s">
        <v>59</v>
      </c>
      <c r="F10" s="9" t="s">
        <v>60</v>
      </c>
      <c r="G10" s="9" t="s">
        <v>61</v>
      </c>
      <c r="H10" s="9" t="s">
        <v>21</v>
      </c>
      <c r="I10" s="9" t="s">
        <v>22</v>
      </c>
      <c r="J10" s="10">
        <v>45979.0</v>
      </c>
      <c r="K10" s="9" t="s">
        <v>23</v>
      </c>
      <c r="L10" s="9" t="s">
        <v>24</v>
      </c>
      <c r="M10" s="11" t="s">
        <v>62</v>
      </c>
      <c r="N10" s="12" t="s">
        <v>63</v>
      </c>
      <c r="O10" s="9" t="s">
        <v>64</v>
      </c>
      <c r="P10" s="1"/>
      <c r="Q10" s="1"/>
      <c r="R10" s="1"/>
      <c r="S10" s="1"/>
      <c r="T10" s="1"/>
      <c r="U10" s="1"/>
      <c r="V10" s="1"/>
      <c r="W10" s="1"/>
      <c r="X10" s="1"/>
      <c r="Y10" s="1"/>
      <c r="Z10" s="1"/>
    </row>
    <row r="11" ht="90.75" customHeight="1">
      <c r="A11" s="1"/>
      <c r="B11" s="8" t="s">
        <v>65</v>
      </c>
      <c r="C11" s="9" t="s">
        <v>66</v>
      </c>
      <c r="D11" s="14" t="s">
        <v>67</v>
      </c>
      <c r="E11" s="9" t="s">
        <v>68</v>
      </c>
      <c r="F11" s="9" t="s">
        <v>60</v>
      </c>
      <c r="G11" s="13" t="s">
        <v>69</v>
      </c>
      <c r="H11" s="9" t="s">
        <v>21</v>
      </c>
      <c r="I11" s="9" t="s">
        <v>22</v>
      </c>
      <c r="J11" s="10">
        <v>45979.0</v>
      </c>
      <c r="K11" s="9" t="s">
        <v>23</v>
      </c>
      <c r="L11" s="9" t="s">
        <v>24</v>
      </c>
      <c r="M11" s="9" t="s">
        <v>70</v>
      </c>
      <c r="N11" s="12" t="s">
        <v>71</v>
      </c>
      <c r="O11" s="9" t="s">
        <v>72</v>
      </c>
      <c r="P11" s="1"/>
      <c r="Q11" s="1"/>
      <c r="R11" s="1"/>
      <c r="S11" s="1"/>
      <c r="T11" s="1"/>
      <c r="U11" s="1"/>
      <c r="V11" s="1"/>
      <c r="W11" s="1"/>
      <c r="X11" s="1"/>
      <c r="Y11" s="1"/>
      <c r="Z11" s="1"/>
    </row>
    <row r="12" ht="93.0" customHeight="1">
      <c r="A12" s="1"/>
      <c r="B12" s="8" t="s">
        <v>73</v>
      </c>
      <c r="C12" s="9" t="s">
        <v>74</v>
      </c>
      <c r="D12" s="13" t="s">
        <v>75</v>
      </c>
      <c r="E12" s="9" t="s">
        <v>76</v>
      </c>
      <c r="F12" s="9" t="s">
        <v>42</v>
      </c>
      <c r="G12" s="13" t="s">
        <v>77</v>
      </c>
      <c r="H12" s="9" t="s">
        <v>21</v>
      </c>
      <c r="I12" s="9" t="s">
        <v>78</v>
      </c>
      <c r="J12" s="10">
        <v>45979.0</v>
      </c>
      <c r="K12" s="9" t="s">
        <v>23</v>
      </c>
      <c r="L12" s="9" t="s">
        <v>24</v>
      </c>
      <c r="M12" s="9" t="s">
        <v>79</v>
      </c>
      <c r="N12" s="12" t="s">
        <v>80</v>
      </c>
      <c r="O12" s="9" t="s">
        <v>81</v>
      </c>
      <c r="P12" s="1"/>
      <c r="Q12" s="1"/>
      <c r="R12" s="1"/>
      <c r="S12" s="1"/>
      <c r="T12" s="1"/>
      <c r="U12" s="1"/>
      <c r="V12" s="1"/>
      <c r="W12" s="1"/>
      <c r="X12" s="1"/>
      <c r="Y12" s="1"/>
      <c r="Z12" s="1"/>
    </row>
    <row r="13" ht="99.75" customHeight="1">
      <c r="A13" s="1"/>
      <c r="B13" s="8" t="s">
        <v>82</v>
      </c>
      <c r="C13" s="9" t="s">
        <v>83</v>
      </c>
      <c r="D13" s="13" t="s">
        <v>84</v>
      </c>
      <c r="E13" s="9" t="s">
        <v>85</v>
      </c>
      <c r="F13" s="9" t="s">
        <v>42</v>
      </c>
      <c r="G13" s="13" t="s">
        <v>86</v>
      </c>
      <c r="H13" s="9" t="s">
        <v>21</v>
      </c>
      <c r="I13" s="9" t="s">
        <v>78</v>
      </c>
      <c r="J13" s="10">
        <v>45979.0</v>
      </c>
      <c r="K13" s="9" t="s">
        <v>23</v>
      </c>
      <c r="L13" s="9" t="s">
        <v>24</v>
      </c>
      <c r="M13" s="9" t="s">
        <v>87</v>
      </c>
      <c r="N13" s="15" t="s">
        <v>88</v>
      </c>
      <c r="O13" s="9" t="s">
        <v>89</v>
      </c>
      <c r="P13" s="1"/>
      <c r="Q13" s="1"/>
      <c r="R13" s="1"/>
      <c r="S13" s="1"/>
      <c r="T13" s="1"/>
      <c r="U13" s="1"/>
      <c r="V13" s="1"/>
      <c r="W13" s="1"/>
      <c r="X13" s="1"/>
      <c r="Y13" s="1"/>
      <c r="Z13" s="1"/>
    </row>
    <row r="14" ht="82.5" customHeight="1">
      <c r="A14" s="1"/>
      <c r="B14" s="8" t="s">
        <v>90</v>
      </c>
      <c r="C14" s="9" t="s">
        <v>91</v>
      </c>
      <c r="D14" s="9" t="s">
        <v>92</v>
      </c>
      <c r="E14" s="9" t="s">
        <v>93</v>
      </c>
      <c r="F14" s="9" t="s">
        <v>42</v>
      </c>
      <c r="G14" s="13" t="s">
        <v>94</v>
      </c>
      <c r="H14" s="9" t="s">
        <v>95</v>
      </c>
      <c r="I14" s="9" t="s">
        <v>96</v>
      </c>
      <c r="J14" s="10">
        <v>45979.0</v>
      </c>
      <c r="K14" s="9" t="s">
        <v>23</v>
      </c>
      <c r="L14" s="9" t="s">
        <v>24</v>
      </c>
      <c r="M14" s="9" t="s">
        <v>97</v>
      </c>
      <c r="N14" s="16" t="s">
        <v>98</v>
      </c>
      <c r="O14" s="9" t="s">
        <v>99</v>
      </c>
      <c r="P14" s="1"/>
      <c r="Q14" s="1"/>
      <c r="R14" s="1"/>
      <c r="S14" s="1"/>
      <c r="T14" s="1"/>
      <c r="U14" s="1"/>
      <c r="V14" s="1"/>
      <c r="W14" s="1"/>
      <c r="X14" s="1"/>
      <c r="Y14" s="1"/>
      <c r="Z14" s="1"/>
    </row>
    <row r="15" ht="88.5" customHeight="1">
      <c r="A15" s="1"/>
      <c r="B15" s="8" t="s">
        <v>100</v>
      </c>
      <c r="C15" s="9" t="s">
        <v>101</v>
      </c>
      <c r="D15" s="9" t="s">
        <v>102</v>
      </c>
      <c r="E15" s="9" t="s">
        <v>103</v>
      </c>
      <c r="F15" s="9" t="s">
        <v>104</v>
      </c>
      <c r="G15" s="13" t="s">
        <v>105</v>
      </c>
      <c r="H15" s="9" t="s">
        <v>95</v>
      </c>
      <c r="I15" s="9" t="s">
        <v>106</v>
      </c>
      <c r="J15" s="10">
        <v>45979.0</v>
      </c>
      <c r="K15" s="9" t="s">
        <v>107</v>
      </c>
      <c r="L15" s="9" t="s">
        <v>24</v>
      </c>
      <c r="M15" s="9" t="s">
        <v>108</v>
      </c>
      <c r="N15" s="16" t="s">
        <v>109</v>
      </c>
      <c r="O15" s="9" t="s">
        <v>110</v>
      </c>
      <c r="P15" s="1"/>
      <c r="Q15" s="1"/>
      <c r="R15" s="1"/>
      <c r="S15" s="1"/>
      <c r="T15" s="1"/>
      <c r="U15" s="1"/>
      <c r="V15" s="1"/>
      <c r="W15" s="1"/>
      <c r="X15" s="1"/>
      <c r="Y15" s="1"/>
      <c r="Z15" s="1"/>
    </row>
    <row r="16" ht="86.25" customHeight="1">
      <c r="A16" s="1"/>
      <c r="B16" s="8" t="s">
        <v>111</v>
      </c>
      <c r="C16" s="9" t="s">
        <v>112</v>
      </c>
      <c r="D16" s="9" t="s">
        <v>113</v>
      </c>
      <c r="E16" s="9" t="s">
        <v>114</v>
      </c>
      <c r="F16" s="9" t="s">
        <v>104</v>
      </c>
      <c r="G16" s="13" t="s">
        <v>115</v>
      </c>
      <c r="H16" s="9" t="s">
        <v>95</v>
      </c>
      <c r="I16" s="9" t="s">
        <v>52</v>
      </c>
      <c r="J16" s="10">
        <v>45979.0</v>
      </c>
      <c r="K16" s="9" t="s">
        <v>107</v>
      </c>
      <c r="L16" s="9" t="s">
        <v>24</v>
      </c>
      <c r="M16" s="9" t="s">
        <v>116</v>
      </c>
      <c r="N16" s="16" t="s">
        <v>117</v>
      </c>
      <c r="O16" s="9" t="s">
        <v>118</v>
      </c>
      <c r="P16" s="1"/>
      <c r="Q16" s="1"/>
      <c r="R16" s="1"/>
      <c r="S16" s="1"/>
      <c r="T16" s="1"/>
      <c r="U16" s="1"/>
      <c r="V16" s="1"/>
      <c r="W16" s="1"/>
      <c r="X16" s="1"/>
      <c r="Y16" s="1"/>
      <c r="Z16" s="1"/>
    </row>
    <row r="17" ht="96.0" customHeight="1">
      <c r="A17" s="1"/>
      <c r="B17" s="8" t="s">
        <v>119</v>
      </c>
      <c r="C17" s="9" t="s">
        <v>120</v>
      </c>
      <c r="D17" s="9" t="s">
        <v>121</v>
      </c>
      <c r="E17" s="9" t="s">
        <v>122</v>
      </c>
      <c r="F17" s="9" t="s">
        <v>123</v>
      </c>
      <c r="G17" s="13" t="s">
        <v>124</v>
      </c>
      <c r="H17" s="9" t="s">
        <v>95</v>
      </c>
      <c r="I17" s="9" t="s">
        <v>22</v>
      </c>
      <c r="J17" s="10">
        <v>45979.0</v>
      </c>
      <c r="K17" s="9" t="s">
        <v>23</v>
      </c>
      <c r="L17" s="9" t="s">
        <v>24</v>
      </c>
      <c r="M17" s="9" t="s">
        <v>125</v>
      </c>
      <c r="N17" s="16" t="s">
        <v>126</v>
      </c>
      <c r="O17" s="9" t="s">
        <v>127</v>
      </c>
      <c r="P17" s="1"/>
      <c r="Q17" s="1"/>
      <c r="R17" s="1"/>
      <c r="S17" s="1"/>
      <c r="T17" s="1"/>
      <c r="U17" s="1"/>
      <c r="V17" s="1"/>
      <c r="W17" s="1"/>
      <c r="X17" s="1"/>
      <c r="Y17" s="1"/>
      <c r="Z17" s="1"/>
    </row>
    <row r="18" ht="95.25" customHeight="1">
      <c r="A18" s="1"/>
      <c r="B18" s="8" t="s">
        <v>128</v>
      </c>
      <c r="C18" s="9" t="s">
        <v>129</v>
      </c>
      <c r="D18" s="9" t="s">
        <v>130</v>
      </c>
      <c r="E18" s="9" t="s">
        <v>131</v>
      </c>
      <c r="F18" s="9" t="s">
        <v>123</v>
      </c>
      <c r="G18" s="13" t="s">
        <v>132</v>
      </c>
      <c r="H18" s="9" t="s">
        <v>95</v>
      </c>
      <c r="I18" s="9" t="s">
        <v>133</v>
      </c>
      <c r="J18" s="10">
        <v>45979.0</v>
      </c>
      <c r="K18" s="9" t="s">
        <v>23</v>
      </c>
      <c r="L18" s="9" t="s">
        <v>24</v>
      </c>
      <c r="M18" s="9" t="s">
        <v>134</v>
      </c>
      <c r="N18" s="16" t="s">
        <v>135</v>
      </c>
      <c r="O18" s="9" t="s">
        <v>136</v>
      </c>
      <c r="P18" s="1"/>
      <c r="Q18" s="1"/>
      <c r="R18" s="1"/>
      <c r="S18" s="1"/>
      <c r="T18" s="1"/>
      <c r="U18" s="1"/>
      <c r="V18" s="1"/>
      <c r="W18" s="1"/>
      <c r="X18" s="1"/>
      <c r="Y18" s="1"/>
      <c r="Z18" s="1"/>
    </row>
    <row r="19" ht="90.75" customHeight="1">
      <c r="A19" s="1"/>
      <c r="B19" s="8" t="s">
        <v>137</v>
      </c>
      <c r="C19" s="9" t="s">
        <v>138</v>
      </c>
      <c r="D19" s="9" t="s">
        <v>139</v>
      </c>
      <c r="E19" s="9" t="s">
        <v>140</v>
      </c>
      <c r="F19" s="9" t="s">
        <v>123</v>
      </c>
      <c r="G19" s="13" t="s">
        <v>141</v>
      </c>
      <c r="H19" s="9" t="s">
        <v>95</v>
      </c>
      <c r="I19" s="9" t="s">
        <v>142</v>
      </c>
      <c r="J19" s="10">
        <v>45979.0</v>
      </c>
      <c r="K19" s="9" t="s">
        <v>23</v>
      </c>
      <c r="L19" s="9" t="s">
        <v>24</v>
      </c>
      <c r="M19" s="9" t="s">
        <v>143</v>
      </c>
      <c r="N19" s="17" t="s">
        <v>144</v>
      </c>
      <c r="O19" s="9" t="s">
        <v>145</v>
      </c>
      <c r="P19" s="1"/>
      <c r="Q19" s="1"/>
      <c r="R19" s="1"/>
      <c r="S19" s="1"/>
      <c r="T19" s="1"/>
      <c r="U19" s="1"/>
      <c r="V19" s="1"/>
      <c r="W19" s="1"/>
      <c r="X19" s="1"/>
      <c r="Y19" s="1"/>
      <c r="Z19" s="1"/>
    </row>
    <row r="20">
      <c r="A20" s="1"/>
      <c r="B20" s="8" t="s">
        <v>146</v>
      </c>
      <c r="C20" s="9" t="s">
        <v>147</v>
      </c>
      <c r="D20" s="9" t="s">
        <v>148</v>
      </c>
      <c r="E20" s="9" t="s">
        <v>149</v>
      </c>
      <c r="F20" s="9" t="s">
        <v>150</v>
      </c>
      <c r="G20" s="9" t="s">
        <v>151</v>
      </c>
      <c r="H20" s="9" t="s">
        <v>95</v>
      </c>
      <c r="I20" s="9" t="s">
        <v>152</v>
      </c>
      <c r="J20" s="10">
        <v>45979.0</v>
      </c>
      <c r="K20" s="9" t="s">
        <v>23</v>
      </c>
      <c r="L20" s="9" t="s">
        <v>24</v>
      </c>
      <c r="M20" s="13" t="s">
        <v>153</v>
      </c>
      <c r="N20" s="9" t="s">
        <v>154</v>
      </c>
      <c r="O20" s="18" t="s">
        <v>155</v>
      </c>
      <c r="P20" s="1"/>
      <c r="Q20" s="1"/>
      <c r="R20" s="1"/>
      <c r="S20" s="1"/>
      <c r="T20" s="1"/>
      <c r="U20" s="1"/>
      <c r="V20" s="1"/>
      <c r="W20" s="1"/>
      <c r="X20" s="1"/>
      <c r="Y20" s="1"/>
      <c r="Z20" s="1"/>
    </row>
    <row r="21" ht="15.75" customHeight="1">
      <c r="A21" s="1"/>
      <c r="B21" s="8" t="s">
        <v>156</v>
      </c>
      <c r="C21" s="19" t="s">
        <v>157</v>
      </c>
      <c r="D21" s="19" t="s">
        <v>158</v>
      </c>
      <c r="E21" s="19" t="s">
        <v>159</v>
      </c>
      <c r="F21" s="20" t="s">
        <v>160</v>
      </c>
      <c r="G21" s="19" t="s">
        <v>161</v>
      </c>
      <c r="H21" s="9" t="s">
        <v>162</v>
      </c>
      <c r="I21" s="9" t="s">
        <v>22</v>
      </c>
      <c r="J21" s="10">
        <v>45979.0</v>
      </c>
      <c r="K21" s="9" t="s">
        <v>107</v>
      </c>
      <c r="L21" s="9" t="s">
        <v>24</v>
      </c>
      <c r="M21" s="19" t="s">
        <v>163</v>
      </c>
      <c r="N21" s="12" t="s">
        <v>164</v>
      </c>
      <c r="O21" s="21" t="s">
        <v>165</v>
      </c>
      <c r="P21" s="1"/>
      <c r="Q21" s="1"/>
      <c r="R21" s="1"/>
      <c r="S21" s="1"/>
      <c r="T21" s="1"/>
      <c r="U21" s="1"/>
      <c r="V21" s="1"/>
      <c r="W21" s="1"/>
      <c r="X21" s="1"/>
      <c r="Y21" s="1"/>
      <c r="Z21" s="1"/>
    </row>
    <row r="22" ht="15.75" customHeight="1">
      <c r="A22" s="1"/>
      <c r="B22" s="8" t="s">
        <v>166</v>
      </c>
      <c r="C22" s="19" t="s">
        <v>167</v>
      </c>
      <c r="D22" s="19" t="s">
        <v>168</v>
      </c>
      <c r="E22" s="19" t="s">
        <v>169</v>
      </c>
      <c r="F22" s="20" t="s">
        <v>160</v>
      </c>
      <c r="G22" s="19" t="s">
        <v>170</v>
      </c>
      <c r="H22" s="9" t="s">
        <v>162</v>
      </c>
      <c r="I22" s="9" t="s">
        <v>106</v>
      </c>
      <c r="J22" s="10">
        <v>45979.0</v>
      </c>
      <c r="K22" s="9" t="s">
        <v>107</v>
      </c>
      <c r="L22" s="9" t="s">
        <v>24</v>
      </c>
      <c r="M22" s="19" t="s">
        <v>171</v>
      </c>
      <c r="N22" s="12" t="s">
        <v>172</v>
      </c>
      <c r="O22" s="21" t="s">
        <v>173</v>
      </c>
      <c r="P22" s="1"/>
      <c r="Q22" s="1"/>
      <c r="R22" s="1"/>
      <c r="S22" s="1"/>
      <c r="T22" s="1"/>
      <c r="U22" s="1"/>
      <c r="V22" s="1"/>
      <c r="W22" s="1"/>
      <c r="X22" s="1"/>
      <c r="Y22" s="1"/>
      <c r="Z22" s="1"/>
    </row>
    <row r="23" ht="15.75" customHeight="1">
      <c r="A23" s="1"/>
      <c r="B23" s="8" t="s">
        <v>174</v>
      </c>
      <c r="C23" s="19" t="s">
        <v>175</v>
      </c>
      <c r="D23" s="19" t="s">
        <v>176</v>
      </c>
      <c r="E23" s="19" t="s">
        <v>177</v>
      </c>
      <c r="F23" s="22" t="s">
        <v>178</v>
      </c>
      <c r="G23" s="19" t="s">
        <v>179</v>
      </c>
      <c r="H23" s="9" t="s">
        <v>162</v>
      </c>
      <c r="I23" s="9" t="s">
        <v>180</v>
      </c>
      <c r="J23" s="10">
        <v>45979.0</v>
      </c>
      <c r="K23" s="9" t="s">
        <v>107</v>
      </c>
      <c r="L23" s="9" t="s">
        <v>24</v>
      </c>
      <c r="M23" s="19" t="s">
        <v>181</v>
      </c>
      <c r="N23" s="12" t="s">
        <v>182</v>
      </c>
      <c r="O23" s="21" t="s">
        <v>183</v>
      </c>
      <c r="P23" s="1"/>
      <c r="Q23" s="1"/>
      <c r="R23" s="1"/>
      <c r="S23" s="1"/>
      <c r="T23" s="1"/>
      <c r="U23" s="1"/>
      <c r="V23" s="1"/>
      <c r="W23" s="1"/>
      <c r="X23" s="1"/>
      <c r="Y23" s="1"/>
      <c r="Z23" s="1"/>
    </row>
    <row r="24" ht="15.75" customHeight="1">
      <c r="A24" s="1"/>
      <c r="B24" s="23" t="s">
        <v>184</v>
      </c>
      <c r="C24" s="9" t="s">
        <v>185</v>
      </c>
      <c r="D24" s="9" t="s">
        <v>186</v>
      </c>
      <c r="E24" s="9" t="s">
        <v>187</v>
      </c>
      <c r="F24" s="9" t="s">
        <v>160</v>
      </c>
      <c r="G24" s="9" t="s">
        <v>188</v>
      </c>
      <c r="H24" s="9" t="s">
        <v>162</v>
      </c>
      <c r="I24" s="9" t="s">
        <v>22</v>
      </c>
      <c r="J24" s="10">
        <v>45979.0</v>
      </c>
      <c r="K24" s="9" t="s">
        <v>107</v>
      </c>
      <c r="L24" s="9" t="s">
        <v>24</v>
      </c>
      <c r="M24" s="11" t="s">
        <v>189</v>
      </c>
      <c r="N24" s="12" t="s">
        <v>190</v>
      </c>
      <c r="O24" s="9" t="s">
        <v>191</v>
      </c>
      <c r="P24" s="1"/>
      <c r="Q24" s="1"/>
      <c r="R24" s="1"/>
      <c r="S24" s="1"/>
      <c r="T24" s="1"/>
      <c r="U24" s="1"/>
      <c r="V24" s="1"/>
      <c r="W24" s="1"/>
      <c r="X24" s="1"/>
      <c r="Y24" s="1"/>
      <c r="Z24" s="1"/>
    </row>
    <row r="25" ht="75.75" customHeight="1">
      <c r="A25" s="1"/>
      <c r="B25" s="23" t="s">
        <v>192</v>
      </c>
      <c r="C25" s="9" t="s">
        <v>193</v>
      </c>
      <c r="D25" s="9" t="s">
        <v>194</v>
      </c>
      <c r="E25" s="9" t="s">
        <v>195</v>
      </c>
      <c r="F25" s="9" t="s">
        <v>160</v>
      </c>
      <c r="G25" s="9" t="s">
        <v>196</v>
      </c>
      <c r="H25" s="9" t="s">
        <v>162</v>
      </c>
      <c r="I25" s="9" t="s">
        <v>106</v>
      </c>
      <c r="J25" s="10">
        <v>45979.0</v>
      </c>
      <c r="K25" s="9" t="s">
        <v>107</v>
      </c>
      <c r="L25" s="9" t="s">
        <v>24</v>
      </c>
      <c r="M25" s="11" t="s">
        <v>197</v>
      </c>
      <c r="N25" s="12" t="s">
        <v>198</v>
      </c>
      <c r="O25" s="9" t="s">
        <v>199</v>
      </c>
      <c r="P25" s="1"/>
      <c r="Q25" s="1"/>
      <c r="R25" s="1"/>
      <c r="S25" s="1"/>
      <c r="T25" s="1"/>
      <c r="U25" s="1"/>
      <c r="V25" s="1"/>
      <c r="W25" s="1"/>
      <c r="X25" s="1"/>
      <c r="Y25" s="1"/>
      <c r="Z25" s="1"/>
    </row>
    <row r="26" ht="75.75" customHeight="1">
      <c r="A26" s="1"/>
      <c r="B26" s="23" t="s">
        <v>200</v>
      </c>
      <c r="C26" s="9" t="s">
        <v>201</v>
      </c>
      <c r="D26" s="9" t="s">
        <v>202</v>
      </c>
      <c r="E26" s="9" t="s">
        <v>203</v>
      </c>
      <c r="F26" s="9" t="s">
        <v>204</v>
      </c>
      <c r="G26" s="13" t="s">
        <v>205</v>
      </c>
      <c r="H26" s="9" t="s">
        <v>162</v>
      </c>
      <c r="I26" s="9" t="s">
        <v>206</v>
      </c>
      <c r="J26" s="10">
        <v>45979.0</v>
      </c>
      <c r="K26" s="9" t="s">
        <v>107</v>
      </c>
      <c r="L26" s="9" t="s">
        <v>24</v>
      </c>
      <c r="M26" s="11" t="s">
        <v>207</v>
      </c>
      <c r="N26" s="12" t="s">
        <v>208</v>
      </c>
      <c r="O26" s="9" t="s">
        <v>209</v>
      </c>
      <c r="P26" s="1"/>
      <c r="Q26" s="1"/>
      <c r="R26" s="1"/>
      <c r="S26" s="1"/>
      <c r="T26" s="1"/>
      <c r="U26" s="1"/>
      <c r="V26" s="1"/>
      <c r="W26" s="1"/>
      <c r="X26" s="1"/>
      <c r="Y26" s="1"/>
      <c r="Z26" s="1"/>
    </row>
    <row r="27" ht="75.75" customHeight="1">
      <c r="A27" s="1"/>
      <c r="B27" s="23" t="s">
        <v>210</v>
      </c>
      <c r="C27" s="9" t="s">
        <v>211</v>
      </c>
      <c r="D27" s="13" t="s">
        <v>212</v>
      </c>
      <c r="E27" s="9" t="s">
        <v>213</v>
      </c>
      <c r="F27" s="9" t="s">
        <v>160</v>
      </c>
      <c r="G27" s="13" t="s">
        <v>214</v>
      </c>
      <c r="H27" s="9" t="s">
        <v>162</v>
      </c>
      <c r="I27" s="9" t="s">
        <v>22</v>
      </c>
      <c r="J27" s="10">
        <v>45979.0</v>
      </c>
      <c r="K27" s="9" t="s">
        <v>215</v>
      </c>
      <c r="L27" s="9" t="s">
        <v>24</v>
      </c>
      <c r="M27" s="11" t="s">
        <v>216</v>
      </c>
      <c r="N27" s="12" t="s">
        <v>217</v>
      </c>
      <c r="O27" s="9" t="s">
        <v>218</v>
      </c>
      <c r="P27" s="1"/>
      <c r="Q27" s="1"/>
      <c r="R27" s="1"/>
      <c r="S27" s="1"/>
      <c r="T27" s="1"/>
      <c r="U27" s="1"/>
      <c r="V27" s="1"/>
      <c r="W27" s="1"/>
      <c r="X27" s="1"/>
      <c r="Y27" s="1"/>
      <c r="Z27" s="1"/>
    </row>
    <row r="28" ht="19.5" customHeight="1">
      <c r="A28" s="1"/>
      <c r="B28" s="1"/>
      <c r="C28" s="1"/>
      <c r="D28" s="1"/>
      <c r="E28" s="1"/>
      <c r="F28" s="1"/>
      <c r="G28" s="1"/>
      <c r="H28" s="1"/>
      <c r="I28" s="2"/>
      <c r="J28" s="2"/>
      <c r="K28" s="24"/>
      <c r="L28" s="2"/>
      <c r="M28" s="1"/>
      <c r="N28" s="1"/>
      <c r="O28" s="1"/>
      <c r="P28" s="1"/>
      <c r="Q28" s="1"/>
      <c r="R28" s="1"/>
      <c r="S28" s="1"/>
      <c r="T28" s="1"/>
      <c r="U28" s="1"/>
      <c r="V28" s="1"/>
      <c r="W28" s="1"/>
      <c r="X28" s="1"/>
      <c r="Y28" s="1"/>
      <c r="Z28" s="1"/>
    </row>
    <row r="29" ht="19.5" customHeight="1">
      <c r="A29" s="1"/>
      <c r="B29" s="1"/>
      <c r="C29" s="1"/>
      <c r="D29" s="1"/>
      <c r="E29" s="1"/>
      <c r="F29" s="1"/>
      <c r="G29" s="1"/>
      <c r="H29" s="1"/>
      <c r="I29" s="2"/>
      <c r="J29" s="2"/>
      <c r="K29" s="24"/>
      <c r="L29" s="2"/>
      <c r="M29" s="1"/>
      <c r="N29" s="1"/>
      <c r="O29" s="25"/>
      <c r="P29" s="1"/>
      <c r="Q29" s="1"/>
      <c r="R29" s="1"/>
      <c r="S29" s="1"/>
      <c r="T29" s="1"/>
      <c r="U29" s="1"/>
      <c r="V29" s="1"/>
      <c r="W29" s="1"/>
      <c r="X29" s="1"/>
      <c r="Y29" s="1"/>
      <c r="Z29" s="1"/>
    </row>
    <row r="30" ht="19.5" customHeight="1">
      <c r="A30" s="1"/>
      <c r="B30" s="1"/>
      <c r="C30" s="1"/>
      <c r="D30" s="1"/>
      <c r="E30" s="1"/>
      <c r="F30" s="1"/>
      <c r="G30" s="1"/>
      <c r="H30" s="1"/>
      <c r="I30" s="2"/>
      <c r="J30" s="2"/>
      <c r="K30" s="3"/>
      <c r="L30" s="2"/>
      <c r="M30" s="1"/>
      <c r="N30" s="1"/>
      <c r="O30" s="1"/>
      <c r="P30" s="1"/>
      <c r="Q30" s="1"/>
      <c r="R30" s="1"/>
      <c r="S30" s="1"/>
      <c r="T30" s="1"/>
      <c r="U30" s="1"/>
      <c r="V30" s="1"/>
      <c r="W30" s="1"/>
      <c r="X30" s="1"/>
      <c r="Y30" s="1"/>
      <c r="Z30" s="1"/>
    </row>
    <row r="31" ht="19.5" customHeight="1">
      <c r="A31" s="1"/>
      <c r="B31" s="1"/>
      <c r="C31" s="1"/>
      <c r="D31" s="1"/>
      <c r="E31" s="1"/>
      <c r="F31" s="1"/>
      <c r="G31" s="1"/>
      <c r="H31" s="1"/>
      <c r="I31" s="2"/>
      <c r="J31" s="1"/>
      <c r="K31" s="1"/>
      <c r="L31" s="1"/>
      <c r="M31" s="1"/>
      <c r="N31" s="1"/>
      <c r="O31" s="1"/>
      <c r="P31" s="1"/>
      <c r="Q31" s="1"/>
      <c r="R31" s="1"/>
      <c r="S31" s="1"/>
      <c r="T31" s="1"/>
      <c r="U31" s="1"/>
      <c r="V31" s="1"/>
      <c r="W31" s="1"/>
      <c r="X31" s="1"/>
      <c r="Y31" s="1"/>
      <c r="Z31" s="1"/>
    </row>
    <row r="32" ht="19.5" customHeight="1">
      <c r="A32" s="1"/>
      <c r="B32" s="1"/>
      <c r="C32" s="1"/>
      <c r="D32" s="1"/>
      <c r="E32" s="1"/>
      <c r="F32" s="1"/>
      <c r="G32" s="1"/>
      <c r="H32" s="1"/>
      <c r="I32" s="2"/>
      <c r="J32" s="1"/>
      <c r="K32" s="1"/>
      <c r="L32" s="1"/>
      <c r="M32" s="1"/>
      <c r="N32" s="1"/>
      <c r="O32" s="1"/>
      <c r="P32" s="1"/>
      <c r="Q32" s="1"/>
      <c r="R32" s="1"/>
      <c r="S32" s="1"/>
      <c r="T32" s="1"/>
      <c r="U32" s="1"/>
      <c r="V32" s="1"/>
      <c r="W32" s="1"/>
      <c r="X32" s="1"/>
      <c r="Y32" s="1"/>
      <c r="Z32" s="1"/>
    </row>
    <row r="33" ht="19.5" customHeight="1">
      <c r="A33" s="1"/>
      <c r="B33" s="1"/>
      <c r="C33" s="1"/>
      <c r="D33" s="1"/>
      <c r="E33" s="1"/>
      <c r="F33" s="1"/>
      <c r="G33" s="1"/>
      <c r="H33" s="1"/>
      <c r="I33" s="2"/>
      <c r="J33" s="1"/>
      <c r="K33" s="3" t="s">
        <v>23</v>
      </c>
      <c r="L33" s="3" t="s">
        <v>219</v>
      </c>
      <c r="M33" s="1"/>
      <c r="N33" s="1"/>
      <c r="O33" s="1"/>
      <c r="P33" s="1"/>
      <c r="Q33" s="1"/>
      <c r="R33" s="1"/>
      <c r="S33" s="1"/>
      <c r="T33" s="1"/>
      <c r="U33" s="1"/>
      <c r="V33" s="1"/>
      <c r="W33" s="1"/>
      <c r="X33" s="1"/>
      <c r="Y33" s="1"/>
      <c r="Z33" s="1"/>
    </row>
    <row r="34" ht="19.5" customHeight="1">
      <c r="A34" s="1"/>
      <c r="B34" s="1"/>
      <c r="C34" s="1"/>
      <c r="D34" s="1"/>
      <c r="E34" s="1"/>
      <c r="F34" s="1"/>
      <c r="G34" s="1"/>
      <c r="H34" s="1"/>
      <c r="I34" s="2"/>
      <c r="J34" s="1"/>
      <c r="K34" s="3" t="s">
        <v>107</v>
      </c>
      <c r="L34" s="3" t="s">
        <v>220</v>
      </c>
      <c r="M34" s="1"/>
      <c r="N34" s="1"/>
      <c r="O34" s="1"/>
      <c r="P34" s="1"/>
      <c r="Q34" s="1"/>
      <c r="R34" s="1"/>
      <c r="S34" s="1"/>
      <c r="T34" s="1"/>
      <c r="U34" s="1"/>
      <c r="V34" s="1"/>
      <c r="W34" s="1"/>
      <c r="X34" s="1"/>
      <c r="Y34" s="1"/>
      <c r="Z34" s="1"/>
    </row>
    <row r="35" ht="19.5" customHeight="1">
      <c r="A35" s="1"/>
      <c r="B35" s="1"/>
      <c r="C35" s="1"/>
      <c r="D35" s="1"/>
      <c r="E35" s="1"/>
      <c r="F35" s="1"/>
      <c r="G35" s="1"/>
      <c r="H35" s="1"/>
      <c r="I35" s="2"/>
      <c r="J35" s="1"/>
      <c r="K35" s="3" t="s">
        <v>215</v>
      </c>
      <c r="L35" s="3" t="s">
        <v>24</v>
      </c>
      <c r="M35" s="1"/>
      <c r="N35" s="1"/>
      <c r="O35" s="1"/>
      <c r="P35" s="1"/>
      <c r="Q35" s="1"/>
      <c r="R35" s="1"/>
      <c r="S35" s="1"/>
      <c r="T35" s="1"/>
      <c r="U35" s="1"/>
      <c r="V35" s="1"/>
      <c r="W35" s="1"/>
      <c r="X35" s="1"/>
      <c r="Y35" s="1"/>
      <c r="Z35" s="1"/>
    </row>
    <row r="36" ht="19.5" customHeight="1">
      <c r="A36" s="1"/>
      <c r="B36" s="1"/>
      <c r="C36" s="1"/>
      <c r="D36" s="1"/>
      <c r="E36" s="1"/>
      <c r="F36" s="1"/>
      <c r="G36" s="1"/>
      <c r="H36" s="1"/>
      <c r="I36" s="2"/>
      <c r="J36" s="1"/>
      <c r="K36" s="3"/>
      <c r="L36" s="3" t="s">
        <v>221</v>
      </c>
      <c r="M36" s="1"/>
      <c r="N36" s="1"/>
      <c r="O36" s="1"/>
      <c r="P36" s="1"/>
      <c r="Q36" s="1"/>
      <c r="R36" s="1"/>
      <c r="S36" s="1"/>
      <c r="T36" s="1"/>
      <c r="U36" s="1"/>
      <c r="V36" s="1"/>
      <c r="W36" s="1"/>
      <c r="X36" s="1"/>
      <c r="Y36" s="1"/>
      <c r="Z36" s="1"/>
    </row>
    <row r="37" ht="19.5" customHeight="1">
      <c r="A37" s="1"/>
      <c r="B37" s="1"/>
      <c r="C37" s="1"/>
      <c r="D37" s="1"/>
      <c r="E37" s="1"/>
      <c r="F37" s="1"/>
      <c r="G37" s="1"/>
      <c r="H37" s="1"/>
      <c r="I37" s="2"/>
      <c r="J37" s="1"/>
      <c r="K37" s="1"/>
      <c r="L37" s="1"/>
      <c r="M37" s="1"/>
      <c r="N37" s="1"/>
      <c r="O37" s="1"/>
      <c r="P37" s="1"/>
      <c r="Q37" s="1"/>
      <c r="R37" s="1"/>
      <c r="S37" s="1"/>
      <c r="T37" s="1"/>
      <c r="U37" s="1"/>
      <c r="V37" s="1"/>
      <c r="W37" s="1"/>
      <c r="X37" s="1"/>
      <c r="Y37" s="1"/>
      <c r="Z37" s="1"/>
    </row>
    <row r="38" ht="19.5" customHeight="1">
      <c r="A38" s="1"/>
      <c r="B38" s="1"/>
      <c r="C38" s="1"/>
      <c r="D38" s="1"/>
      <c r="E38" s="1"/>
      <c r="F38" s="1"/>
      <c r="G38" s="1"/>
      <c r="H38" s="1"/>
      <c r="I38" s="2"/>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2"/>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2"/>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2"/>
      <c r="J41" s="2"/>
      <c r="K41" s="3"/>
      <c r="L41" s="2"/>
      <c r="M41" s="1"/>
      <c r="N41" s="1"/>
      <c r="O41" s="1"/>
      <c r="P41" s="1"/>
      <c r="Q41" s="1"/>
      <c r="R41" s="1"/>
      <c r="S41" s="1"/>
      <c r="T41" s="1"/>
      <c r="U41" s="1"/>
      <c r="V41" s="1"/>
      <c r="W41" s="1"/>
      <c r="X41" s="1"/>
      <c r="Y41" s="1"/>
      <c r="Z41" s="1"/>
    </row>
    <row r="42" ht="15.75" customHeight="1">
      <c r="A42" s="1"/>
      <c r="B42" s="1"/>
      <c r="C42" s="1"/>
      <c r="D42" s="1"/>
      <c r="E42" s="1"/>
      <c r="F42" s="1"/>
      <c r="G42" s="1"/>
      <c r="H42" s="1"/>
      <c r="I42" s="2"/>
      <c r="J42" s="2"/>
      <c r="K42" s="3"/>
      <c r="L42" s="2"/>
      <c r="M42" s="1"/>
      <c r="N42" s="1"/>
      <c r="O42" s="1"/>
      <c r="P42" s="1"/>
      <c r="Q42" s="1"/>
      <c r="R42" s="1"/>
      <c r="S42" s="1"/>
      <c r="T42" s="1"/>
      <c r="U42" s="1"/>
      <c r="V42" s="1"/>
      <c r="W42" s="1"/>
      <c r="X42" s="1"/>
      <c r="Y42" s="1"/>
      <c r="Z42" s="1"/>
    </row>
    <row r="43" ht="15.75" customHeight="1">
      <c r="A43" s="1"/>
      <c r="B43" s="1"/>
      <c r="C43" s="1"/>
      <c r="D43" s="1"/>
      <c r="E43" s="1"/>
      <c r="F43" s="1"/>
      <c r="G43" s="1"/>
      <c r="H43" s="1"/>
      <c r="I43" s="2"/>
      <c r="J43" s="2"/>
      <c r="K43" s="3"/>
      <c r="L43" s="2"/>
      <c r="M43" s="1"/>
      <c r="N43" s="1"/>
      <c r="O43" s="1"/>
      <c r="P43" s="1"/>
      <c r="Q43" s="1"/>
      <c r="R43" s="1"/>
      <c r="S43" s="1"/>
      <c r="T43" s="1"/>
      <c r="U43" s="1"/>
      <c r="V43" s="1"/>
      <c r="W43" s="1"/>
      <c r="X43" s="1"/>
      <c r="Y43" s="1"/>
      <c r="Z43" s="1"/>
    </row>
    <row r="44" ht="15.75" customHeight="1">
      <c r="A44" s="1"/>
      <c r="B44" s="1"/>
      <c r="C44" s="1"/>
      <c r="D44" s="1"/>
      <c r="E44" s="1"/>
      <c r="F44" s="1"/>
      <c r="G44" s="1"/>
      <c r="H44" s="1"/>
      <c r="I44" s="2"/>
      <c r="J44" s="2"/>
      <c r="K44" s="3"/>
      <c r="L44" s="2"/>
      <c r="M44" s="1"/>
      <c r="N44" s="1"/>
      <c r="O44" s="1"/>
      <c r="P44" s="1"/>
      <c r="Q44" s="1"/>
      <c r="R44" s="1"/>
      <c r="S44" s="1"/>
      <c r="T44" s="1"/>
      <c r="U44" s="1"/>
      <c r="V44" s="1"/>
      <c r="W44" s="1"/>
      <c r="X44" s="1"/>
      <c r="Y44" s="1"/>
      <c r="Z44" s="1"/>
    </row>
    <row r="45" ht="15.75" customHeight="1">
      <c r="A45" s="1"/>
      <c r="B45" s="1"/>
      <c r="C45" s="1"/>
      <c r="D45" s="1"/>
      <c r="E45" s="1"/>
      <c r="F45" s="1"/>
      <c r="G45" s="1"/>
      <c r="H45" s="1"/>
      <c r="I45" s="2"/>
      <c r="J45" s="2"/>
      <c r="K45" s="3"/>
      <c r="L45" s="2"/>
      <c r="M45" s="1"/>
      <c r="N45" s="1"/>
      <c r="O45" s="1"/>
      <c r="P45" s="1"/>
      <c r="Q45" s="1"/>
      <c r="R45" s="1"/>
      <c r="S45" s="1"/>
      <c r="T45" s="1"/>
      <c r="U45" s="1"/>
      <c r="V45" s="1"/>
      <c r="W45" s="1"/>
      <c r="X45" s="1"/>
      <c r="Y45" s="1"/>
      <c r="Z45" s="1"/>
    </row>
    <row r="46" ht="15.75" customHeight="1">
      <c r="A46" s="1"/>
      <c r="B46" s="1"/>
      <c r="C46" s="1"/>
      <c r="D46" s="1"/>
      <c r="E46" s="1"/>
      <c r="F46" s="1"/>
      <c r="G46" s="1"/>
      <c r="H46" s="1"/>
      <c r="I46" s="2"/>
      <c r="J46" s="2"/>
      <c r="K46" s="3"/>
      <c r="L46" s="2"/>
      <c r="M46" s="1"/>
      <c r="N46" s="1"/>
      <c r="O46" s="1"/>
      <c r="P46" s="1"/>
      <c r="Q46" s="1"/>
      <c r="R46" s="1"/>
      <c r="S46" s="1"/>
      <c r="T46" s="1"/>
      <c r="U46" s="1"/>
      <c r="V46" s="1"/>
      <c r="W46" s="1"/>
      <c r="X46" s="1"/>
      <c r="Y46" s="1"/>
      <c r="Z46" s="1"/>
    </row>
    <row r="47" ht="15.75" customHeight="1">
      <c r="A47" s="1"/>
      <c r="B47" s="1"/>
      <c r="C47" s="1"/>
      <c r="D47" s="1"/>
      <c r="E47" s="1"/>
      <c r="F47" s="1"/>
      <c r="G47" s="1"/>
      <c r="H47" s="1"/>
      <c r="I47" s="2"/>
      <c r="J47" s="2"/>
      <c r="K47" s="3"/>
      <c r="L47" s="2"/>
      <c r="M47" s="1"/>
      <c r="N47" s="1"/>
      <c r="O47" s="1"/>
      <c r="P47" s="1"/>
      <c r="Q47" s="1"/>
      <c r="R47" s="1"/>
      <c r="S47" s="1"/>
      <c r="T47" s="1"/>
      <c r="U47" s="1"/>
      <c r="V47" s="1"/>
      <c r="W47" s="1"/>
      <c r="X47" s="1"/>
      <c r="Y47" s="1"/>
      <c r="Z47" s="1"/>
    </row>
    <row r="48" ht="15.75" customHeight="1">
      <c r="A48" s="1"/>
      <c r="B48" s="1"/>
      <c r="C48" s="1"/>
      <c r="D48" s="1"/>
      <c r="E48" s="1"/>
      <c r="F48" s="1"/>
      <c r="G48" s="1"/>
      <c r="H48" s="1"/>
      <c r="I48" s="2"/>
      <c r="J48" s="2"/>
      <c r="K48" s="3"/>
      <c r="L48" s="2"/>
      <c r="M48" s="1"/>
      <c r="N48" s="1"/>
      <c r="O48" s="1"/>
      <c r="P48" s="1"/>
      <c r="Q48" s="1"/>
      <c r="R48" s="1"/>
      <c r="S48" s="1"/>
      <c r="T48" s="1"/>
      <c r="U48" s="1"/>
      <c r="V48" s="1"/>
      <c r="W48" s="1"/>
      <c r="X48" s="1"/>
      <c r="Y48" s="1"/>
      <c r="Z48" s="1"/>
    </row>
    <row r="49" ht="15.75" customHeight="1">
      <c r="A49" s="1"/>
      <c r="B49" s="1"/>
      <c r="C49" s="1"/>
      <c r="D49" s="1"/>
      <c r="E49" s="1"/>
      <c r="F49" s="1"/>
      <c r="G49" s="1"/>
      <c r="H49" s="1"/>
      <c r="I49" s="2"/>
      <c r="J49" s="2"/>
      <c r="K49" s="3"/>
      <c r="L49" s="2"/>
      <c r="M49" s="1"/>
      <c r="N49" s="1"/>
      <c r="O49" s="1"/>
      <c r="P49" s="1"/>
      <c r="Q49" s="1"/>
      <c r="R49" s="1"/>
      <c r="S49" s="1"/>
      <c r="T49" s="1"/>
      <c r="U49" s="1"/>
      <c r="V49" s="1"/>
      <c r="W49" s="1"/>
      <c r="X49" s="1"/>
      <c r="Y49" s="1"/>
      <c r="Z49" s="1"/>
    </row>
    <row r="50" ht="15.75" customHeight="1">
      <c r="A50" s="1"/>
      <c r="B50" s="1"/>
      <c r="C50" s="1"/>
      <c r="D50" s="1"/>
      <c r="E50" s="1"/>
      <c r="F50" s="1"/>
      <c r="G50" s="1"/>
      <c r="H50" s="1"/>
      <c r="I50" s="2"/>
      <c r="J50" s="2"/>
      <c r="K50" s="3"/>
      <c r="L50" s="2"/>
      <c r="M50" s="1"/>
      <c r="N50" s="1"/>
      <c r="O50" s="1"/>
      <c r="P50" s="1"/>
      <c r="Q50" s="1"/>
      <c r="R50" s="1"/>
      <c r="S50" s="1"/>
      <c r="T50" s="1"/>
      <c r="U50" s="1"/>
      <c r="V50" s="1"/>
      <c r="W50" s="1"/>
      <c r="X50" s="1"/>
      <c r="Y50" s="1"/>
      <c r="Z50" s="1"/>
    </row>
    <row r="51" ht="15.75" customHeight="1">
      <c r="A51" s="1"/>
      <c r="B51" s="1"/>
      <c r="C51" s="1"/>
      <c r="D51" s="1"/>
      <c r="E51" s="1"/>
      <c r="F51" s="1"/>
      <c r="G51" s="1"/>
      <c r="H51" s="1"/>
      <c r="I51" s="2"/>
      <c r="J51" s="2"/>
      <c r="K51" s="3"/>
      <c r="L51" s="2"/>
      <c r="M51" s="1"/>
      <c r="N51" s="1"/>
      <c r="O51" s="1"/>
      <c r="P51" s="1"/>
      <c r="Q51" s="1"/>
      <c r="R51" s="1"/>
      <c r="S51" s="1"/>
      <c r="T51" s="1"/>
      <c r="U51" s="1"/>
      <c r="V51" s="1"/>
      <c r="W51" s="1"/>
      <c r="X51" s="1"/>
      <c r="Y51" s="1"/>
      <c r="Z51" s="1"/>
    </row>
    <row r="52" ht="15.75" customHeight="1">
      <c r="A52" s="1"/>
      <c r="B52" s="1"/>
      <c r="C52" s="1"/>
      <c r="D52" s="1"/>
      <c r="E52" s="1"/>
      <c r="F52" s="1"/>
      <c r="G52" s="1"/>
      <c r="H52" s="1"/>
      <c r="I52" s="2"/>
      <c r="J52" s="2"/>
      <c r="K52" s="3"/>
      <c r="L52" s="2"/>
      <c r="M52" s="1"/>
      <c r="N52" s="1"/>
      <c r="O52" s="1"/>
      <c r="P52" s="1"/>
      <c r="Q52" s="1"/>
      <c r="R52" s="1"/>
      <c r="S52" s="1"/>
      <c r="T52" s="1"/>
      <c r="U52" s="1"/>
      <c r="V52" s="1"/>
      <c r="W52" s="1"/>
      <c r="X52" s="1"/>
      <c r="Y52" s="1"/>
      <c r="Z52" s="1"/>
    </row>
    <row r="53" ht="15.75" customHeight="1">
      <c r="A53" s="1"/>
      <c r="B53" s="1"/>
      <c r="C53" s="1"/>
      <c r="D53" s="1"/>
      <c r="E53" s="1"/>
      <c r="F53" s="1"/>
      <c r="G53" s="1"/>
      <c r="H53" s="1"/>
      <c r="I53" s="2"/>
      <c r="J53" s="2"/>
      <c r="K53" s="3"/>
      <c r="L53" s="2"/>
      <c r="M53" s="1"/>
      <c r="N53" s="1"/>
      <c r="O53" s="1"/>
      <c r="P53" s="1"/>
      <c r="Q53" s="1"/>
      <c r="R53" s="1"/>
      <c r="S53" s="1"/>
      <c r="T53" s="1"/>
      <c r="U53" s="1"/>
      <c r="V53" s="1"/>
      <c r="W53" s="1"/>
      <c r="X53" s="1"/>
      <c r="Y53" s="1"/>
      <c r="Z53" s="1"/>
    </row>
    <row r="54" ht="15.75" customHeight="1">
      <c r="A54" s="1"/>
      <c r="B54" s="1"/>
      <c r="C54" s="1"/>
      <c r="D54" s="1"/>
      <c r="E54" s="1"/>
      <c r="F54" s="1"/>
      <c r="G54" s="1"/>
      <c r="H54" s="1"/>
      <c r="I54" s="2"/>
      <c r="J54" s="2"/>
      <c r="K54" s="3"/>
      <c r="L54" s="2"/>
      <c r="M54" s="1"/>
      <c r="N54" s="1"/>
      <c r="O54" s="1"/>
      <c r="P54" s="1"/>
      <c r="Q54" s="1"/>
      <c r="R54" s="1"/>
      <c r="S54" s="1"/>
      <c r="T54" s="1"/>
      <c r="U54" s="1"/>
      <c r="V54" s="1"/>
      <c r="W54" s="1"/>
      <c r="X54" s="1"/>
      <c r="Y54" s="1"/>
      <c r="Z54" s="1"/>
    </row>
    <row r="55" ht="15.75" customHeight="1">
      <c r="A55" s="1"/>
      <c r="B55" s="1"/>
      <c r="C55" s="1"/>
      <c r="D55" s="1"/>
      <c r="E55" s="1"/>
      <c r="F55" s="1"/>
      <c r="G55" s="1"/>
      <c r="H55" s="1"/>
      <c r="I55" s="2"/>
      <c r="J55" s="2"/>
      <c r="K55" s="3"/>
      <c r="L55" s="2"/>
      <c r="M55" s="1"/>
      <c r="N55" s="1"/>
      <c r="O55" s="1"/>
      <c r="P55" s="1"/>
      <c r="Q55" s="1"/>
      <c r="R55" s="1"/>
      <c r="S55" s="1"/>
      <c r="T55" s="1"/>
      <c r="U55" s="1"/>
      <c r="V55" s="1"/>
      <c r="W55" s="1"/>
      <c r="X55" s="1"/>
      <c r="Y55" s="1"/>
      <c r="Z55" s="1"/>
    </row>
    <row r="56" ht="15.75" customHeight="1">
      <c r="A56" s="1"/>
      <c r="B56" s="1"/>
      <c r="C56" s="1"/>
      <c r="D56" s="1"/>
      <c r="E56" s="1"/>
      <c r="F56" s="1"/>
      <c r="G56" s="1"/>
      <c r="H56" s="1"/>
      <c r="I56" s="2"/>
      <c r="J56" s="2"/>
      <c r="K56" s="3"/>
      <c r="L56" s="2"/>
      <c r="M56" s="1"/>
      <c r="N56" s="1"/>
      <c r="O56" s="1"/>
      <c r="P56" s="1"/>
      <c r="Q56" s="1"/>
      <c r="R56" s="1"/>
      <c r="S56" s="1"/>
      <c r="T56" s="1"/>
      <c r="U56" s="1"/>
      <c r="V56" s="1"/>
      <c r="W56" s="1"/>
      <c r="X56" s="1"/>
      <c r="Y56" s="1"/>
      <c r="Z56" s="1"/>
    </row>
    <row r="57" ht="15.75" customHeight="1">
      <c r="A57" s="1"/>
      <c r="B57" s="1"/>
      <c r="C57" s="1"/>
      <c r="D57" s="1"/>
      <c r="E57" s="1"/>
      <c r="F57" s="1"/>
      <c r="G57" s="1"/>
      <c r="H57" s="1"/>
      <c r="I57" s="2"/>
      <c r="J57" s="2"/>
      <c r="K57" s="3"/>
      <c r="L57" s="2"/>
      <c r="M57" s="1"/>
      <c r="N57" s="1"/>
      <c r="O57" s="1"/>
      <c r="P57" s="1"/>
      <c r="Q57" s="1"/>
      <c r="R57" s="1"/>
      <c r="S57" s="1"/>
      <c r="T57" s="1"/>
      <c r="U57" s="1"/>
      <c r="V57" s="1"/>
      <c r="W57" s="1"/>
      <c r="X57" s="1"/>
      <c r="Y57" s="1"/>
      <c r="Z57" s="1"/>
    </row>
    <row r="58" ht="15.75" customHeight="1">
      <c r="A58" s="1"/>
      <c r="B58" s="1"/>
      <c r="C58" s="1"/>
      <c r="D58" s="1"/>
      <c r="E58" s="1"/>
      <c r="F58" s="1"/>
      <c r="G58" s="1"/>
      <c r="H58" s="1"/>
      <c r="I58" s="2"/>
      <c r="J58" s="2"/>
      <c r="K58" s="3"/>
      <c r="L58" s="2"/>
      <c r="M58" s="1"/>
      <c r="N58" s="1"/>
      <c r="O58" s="1"/>
      <c r="P58" s="1"/>
      <c r="Q58" s="1"/>
      <c r="R58" s="1"/>
      <c r="S58" s="1"/>
      <c r="T58" s="1"/>
      <c r="U58" s="1"/>
      <c r="V58" s="1"/>
      <c r="W58" s="1"/>
      <c r="X58" s="1"/>
      <c r="Y58" s="1"/>
      <c r="Z58" s="1"/>
    </row>
    <row r="59" ht="15.75" customHeight="1">
      <c r="A59" s="1"/>
      <c r="B59" s="1"/>
      <c r="C59" s="1"/>
      <c r="D59" s="1"/>
      <c r="E59" s="1"/>
      <c r="F59" s="1"/>
      <c r="G59" s="1"/>
      <c r="H59" s="1"/>
      <c r="I59" s="2"/>
      <c r="J59" s="2"/>
      <c r="K59" s="3"/>
      <c r="L59" s="2"/>
      <c r="M59" s="1"/>
      <c r="N59" s="1"/>
      <c r="O59" s="1"/>
      <c r="P59" s="1"/>
      <c r="Q59" s="1"/>
      <c r="R59" s="1"/>
      <c r="S59" s="1"/>
      <c r="T59" s="1"/>
      <c r="U59" s="1"/>
      <c r="V59" s="1"/>
      <c r="W59" s="1"/>
      <c r="X59" s="1"/>
      <c r="Y59" s="1"/>
      <c r="Z59" s="1"/>
    </row>
    <row r="60" ht="15.75" customHeight="1">
      <c r="A60" s="1"/>
      <c r="B60" s="1"/>
      <c r="C60" s="1"/>
      <c r="D60" s="1"/>
      <c r="E60" s="1"/>
      <c r="F60" s="1"/>
      <c r="G60" s="1"/>
      <c r="H60" s="1"/>
      <c r="I60" s="2"/>
      <c r="J60" s="2"/>
      <c r="K60" s="3"/>
      <c r="L60" s="2"/>
      <c r="M60" s="1"/>
      <c r="N60" s="1"/>
      <c r="O60" s="1"/>
      <c r="P60" s="1"/>
      <c r="Q60" s="1"/>
      <c r="R60" s="1"/>
      <c r="S60" s="1"/>
      <c r="T60" s="1"/>
      <c r="U60" s="1"/>
      <c r="V60" s="1"/>
      <c r="W60" s="1"/>
      <c r="X60" s="1"/>
      <c r="Y60" s="1"/>
      <c r="Z60" s="1"/>
    </row>
    <row r="61" ht="15.75" customHeight="1">
      <c r="A61" s="1"/>
      <c r="B61" s="1"/>
      <c r="C61" s="1"/>
      <c r="D61" s="1"/>
      <c r="E61" s="1"/>
      <c r="F61" s="1"/>
      <c r="G61" s="1"/>
      <c r="H61" s="1"/>
      <c r="I61" s="2"/>
      <c r="J61" s="2"/>
      <c r="K61" s="3"/>
      <c r="L61" s="2"/>
      <c r="M61" s="1"/>
      <c r="N61" s="1"/>
      <c r="O61" s="1"/>
      <c r="P61" s="1"/>
      <c r="Q61" s="1"/>
      <c r="R61" s="1"/>
      <c r="S61" s="1"/>
      <c r="T61" s="1"/>
      <c r="U61" s="1"/>
      <c r="V61" s="1"/>
      <c r="W61" s="1"/>
      <c r="X61" s="1"/>
      <c r="Y61" s="1"/>
      <c r="Z61" s="1"/>
    </row>
    <row r="62" ht="15.75" customHeight="1">
      <c r="A62" s="1"/>
      <c r="B62" s="1"/>
      <c r="C62" s="1"/>
      <c r="D62" s="1"/>
      <c r="E62" s="1"/>
      <c r="F62" s="1"/>
      <c r="G62" s="1"/>
      <c r="H62" s="1"/>
      <c r="I62" s="2"/>
      <c r="J62" s="2"/>
      <c r="K62" s="3"/>
      <c r="L62" s="2"/>
      <c r="M62" s="1"/>
      <c r="N62" s="1"/>
      <c r="O62" s="1"/>
      <c r="P62" s="1"/>
      <c r="Q62" s="1"/>
      <c r="R62" s="1"/>
      <c r="S62" s="1"/>
      <c r="T62" s="1"/>
      <c r="U62" s="1"/>
      <c r="V62" s="1"/>
      <c r="W62" s="1"/>
      <c r="X62" s="1"/>
      <c r="Y62" s="1"/>
      <c r="Z62" s="1"/>
    </row>
    <row r="63" ht="15.75" customHeight="1">
      <c r="A63" s="1"/>
      <c r="B63" s="1"/>
      <c r="C63" s="1"/>
      <c r="D63" s="1"/>
      <c r="E63" s="1"/>
      <c r="F63" s="1"/>
      <c r="G63" s="1"/>
      <c r="H63" s="1"/>
      <c r="I63" s="2"/>
      <c r="J63" s="2"/>
      <c r="K63" s="3"/>
      <c r="L63" s="2"/>
      <c r="M63" s="1"/>
      <c r="N63" s="1"/>
      <c r="O63" s="1"/>
      <c r="P63" s="1"/>
      <c r="Q63" s="1"/>
      <c r="R63" s="1"/>
      <c r="S63" s="1"/>
      <c r="T63" s="1"/>
      <c r="U63" s="1"/>
      <c r="V63" s="1"/>
      <c r="W63" s="1"/>
      <c r="X63" s="1"/>
      <c r="Y63" s="1"/>
      <c r="Z63" s="1"/>
    </row>
    <row r="64" ht="15.75" customHeight="1">
      <c r="A64" s="1"/>
      <c r="B64" s="1"/>
      <c r="C64" s="1"/>
      <c r="D64" s="1"/>
      <c r="E64" s="1"/>
      <c r="F64" s="1"/>
      <c r="G64" s="1"/>
      <c r="H64" s="1"/>
      <c r="I64" s="2"/>
      <c r="J64" s="2"/>
      <c r="K64" s="3"/>
      <c r="L64" s="2"/>
      <c r="M64" s="1"/>
      <c r="N64" s="1"/>
      <c r="O64" s="1"/>
      <c r="P64" s="1"/>
      <c r="Q64" s="1"/>
      <c r="R64" s="1"/>
      <c r="S64" s="1"/>
      <c r="T64" s="1"/>
      <c r="U64" s="1"/>
      <c r="V64" s="1"/>
      <c r="W64" s="1"/>
      <c r="X64" s="1"/>
      <c r="Y64" s="1"/>
      <c r="Z64" s="1"/>
    </row>
    <row r="65" ht="15.75" customHeight="1">
      <c r="A65" s="1"/>
      <c r="B65" s="1"/>
      <c r="C65" s="1"/>
      <c r="D65" s="1"/>
      <c r="E65" s="1"/>
      <c r="F65" s="1"/>
      <c r="G65" s="1"/>
      <c r="H65" s="1"/>
      <c r="I65" s="2"/>
      <c r="J65" s="2"/>
      <c r="K65" s="3"/>
      <c r="L65" s="2"/>
      <c r="M65" s="1"/>
      <c r="N65" s="1"/>
      <c r="O65" s="1"/>
      <c r="P65" s="1"/>
      <c r="Q65" s="1"/>
      <c r="R65" s="1"/>
      <c r="S65" s="1"/>
      <c r="T65" s="1"/>
      <c r="U65" s="1"/>
      <c r="V65" s="1"/>
      <c r="W65" s="1"/>
      <c r="X65" s="1"/>
      <c r="Y65" s="1"/>
      <c r="Z65" s="1"/>
    </row>
    <row r="66" ht="15.75" customHeight="1">
      <c r="A66" s="1"/>
      <c r="B66" s="1"/>
      <c r="C66" s="1"/>
      <c r="D66" s="1"/>
      <c r="E66" s="1"/>
      <c r="F66" s="1"/>
      <c r="G66" s="1"/>
      <c r="H66" s="1"/>
      <c r="I66" s="2"/>
      <c r="J66" s="2"/>
      <c r="K66" s="3"/>
      <c r="L66" s="2"/>
      <c r="M66" s="1"/>
      <c r="N66" s="1"/>
      <c r="O66" s="1"/>
      <c r="P66" s="1"/>
      <c r="Q66" s="1"/>
      <c r="R66" s="1"/>
      <c r="S66" s="1"/>
      <c r="T66" s="1"/>
      <c r="U66" s="1"/>
      <c r="V66" s="1"/>
      <c r="W66" s="1"/>
      <c r="X66" s="1"/>
      <c r="Y66" s="1"/>
      <c r="Z66" s="1"/>
    </row>
    <row r="67" ht="15.75" customHeight="1">
      <c r="A67" s="1"/>
      <c r="B67" s="1"/>
      <c r="C67" s="1"/>
      <c r="D67" s="1"/>
      <c r="E67" s="1"/>
      <c r="F67" s="1"/>
      <c r="G67" s="1"/>
      <c r="H67" s="1"/>
      <c r="I67" s="2"/>
      <c r="J67" s="2"/>
      <c r="K67" s="3"/>
      <c r="L67" s="2"/>
      <c r="M67" s="1"/>
      <c r="N67" s="1"/>
      <c r="O67" s="1"/>
      <c r="P67" s="1"/>
      <c r="Q67" s="1"/>
      <c r="R67" s="1"/>
      <c r="S67" s="1"/>
      <c r="T67" s="1"/>
      <c r="U67" s="1"/>
      <c r="V67" s="1"/>
      <c r="W67" s="1"/>
      <c r="X67" s="1"/>
      <c r="Y67" s="1"/>
      <c r="Z67" s="1"/>
    </row>
    <row r="68" ht="15.75" customHeight="1">
      <c r="A68" s="1"/>
      <c r="B68" s="1"/>
      <c r="C68" s="1"/>
      <c r="D68" s="1"/>
      <c r="E68" s="1"/>
      <c r="F68" s="1"/>
      <c r="G68" s="1"/>
      <c r="H68" s="1"/>
      <c r="I68" s="2"/>
      <c r="J68" s="2"/>
      <c r="K68" s="3"/>
      <c r="L68" s="2"/>
      <c r="M68" s="1"/>
      <c r="N68" s="1"/>
      <c r="O68" s="1"/>
      <c r="P68" s="1"/>
      <c r="Q68" s="1"/>
      <c r="R68" s="1"/>
      <c r="S68" s="1"/>
      <c r="T68" s="1"/>
      <c r="U68" s="1"/>
      <c r="V68" s="1"/>
      <c r="W68" s="1"/>
      <c r="X68" s="1"/>
      <c r="Y68" s="1"/>
      <c r="Z68" s="1"/>
    </row>
    <row r="69" ht="15.75" customHeight="1">
      <c r="A69" s="1"/>
      <c r="B69" s="1"/>
      <c r="C69" s="1"/>
      <c r="D69" s="1"/>
      <c r="E69" s="1"/>
      <c r="F69" s="1"/>
      <c r="G69" s="1"/>
      <c r="H69" s="1"/>
      <c r="I69" s="2"/>
      <c r="J69" s="2"/>
      <c r="K69" s="3"/>
      <c r="L69" s="2"/>
      <c r="M69" s="1"/>
      <c r="N69" s="1"/>
      <c r="O69" s="1"/>
      <c r="P69" s="1"/>
      <c r="Q69" s="1"/>
      <c r="R69" s="1"/>
      <c r="S69" s="1"/>
      <c r="T69" s="1"/>
      <c r="U69" s="1"/>
      <c r="V69" s="1"/>
      <c r="W69" s="1"/>
      <c r="X69" s="1"/>
      <c r="Y69" s="1"/>
      <c r="Z69" s="1"/>
    </row>
    <row r="70" ht="15.75" customHeight="1">
      <c r="A70" s="1"/>
      <c r="B70" s="1"/>
      <c r="C70" s="1"/>
      <c r="D70" s="1"/>
      <c r="E70" s="1"/>
      <c r="F70" s="1"/>
      <c r="G70" s="1"/>
      <c r="H70" s="1"/>
      <c r="I70" s="2"/>
      <c r="J70" s="2"/>
      <c r="K70" s="3"/>
      <c r="L70" s="2"/>
      <c r="M70" s="1"/>
      <c r="N70" s="1"/>
      <c r="O70" s="1"/>
      <c r="P70" s="1"/>
      <c r="Q70" s="1"/>
      <c r="R70" s="1"/>
      <c r="S70" s="1"/>
      <c r="T70" s="1"/>
      <c r="U70" s="1"/>
      <c r="V70" s="1"/>
      <c r="W70" s="1"/>
      <c r="X70" s="1"/>
      <c r="Y70" s="1"/>
      <c r="Z70" s="1"/>
    </row>
    <row r="71" ht="15.75" customHeight="1">
      <c r="A71" s="1"/>
      <c r="B71" s="1"/>
      <c r="C71" s="1"/>
      <c r="D71" s="1"/>
      <c r="E71" s="1"/>
      <c r="F71" s="1"/>
      <c r="G71" s="1"/>
      <c r="H71" s="1"/>
      <c r="I71" s="2"/>
      <c r="J71" s="2"/>
      <c r="K71" s="3"/>
      <c r="L71" s="2"/>
      <c r="M71" s="1"/>
      <c r="N71" s="1"/>
      <c r="O71" s="1"/>
      <c r="P71" s="1"/>
      <c r="Q71" s="1"/>
      <c r="R71" s="1"/>
      <c r="S71" s="1"/>
      <c r="T71" s="1"/>
      <c r="U71" s="1"/>
      <c r="V71" s="1"/>
      <c r="W71" s="1"/>
      <c r="X71" s="1"/>
      <c r="Y71" s="1"/>
      <c r="Z71" s="1"/>
    </row>
    <row r="72" ht="15.75" customHeight="1">
      <c r="A72" s="1"/>
      <c r="B72" s="1"/>
      <c r="C72" s="1"/>
      <c r="D72" s="1"/>
      <c r="E72" s="1"/>
      <c r="F72" s="1"/>
      <c r="G72" s="1"/>
      <c r="H72" s="1"/>
      <c r="I72" s="2"/>
      <c r="J72" s="2"/>
      <c r="K72" s="3"/>
      <c r="L72" s="2"/>
      <c r="M72" s="1"/>
      <c r="N72" s="1"/>
      <c r="O72" s="1"/>
      <c r="P72" s="1"/>
      <c r="Q72" s="1"/>
      <c r="R72" s="1"/>
      <c r="S72" s="1"/>
      <c r="T72" s="1"/>
      <c r="U72" s="1"/>
      <c r="V72" s="1"/>
      <c r="W72" s="1"/>
      <c r="X72" s="1"/>
      <c r="Y72" s="1"/>
      <c r="Z72" s="1"/>
    </row>
    <row r="73" ht="15.75" customHeight="1">
      <c r="A73" s="1"/>
      <c r="B73" s="1"/>
      <c r="C73" s="1"/>
      <c r="D73" s="1"/>
      <c r="E73" s="1"/>
      <c r="F73" s="1"/>
      <c r="G73" s="1"/>
      <c r="H73" s="1"/>
      <c r="I73" s="2"/>
      <c r="J73" s="2"/>
      <c r="K73" s="3"/>
      <c r="L73" s="2"/>
      <c r="M73" s="1"/>
      <c r="N73" s="1"/>
      <c r="O73" s="1"/>
      <c r="P73" s="1"/>
      <c r="Q73" s="1"/>
      <c r="R73" s="1"/>
      <c r="S73" s="1"/>
      <c r="T73" s="1"/>
      <c r="U73" s="1"/>
      <c r="V73" s="1"/>
      <c r="W73" s="1"/>
      <c r="X73" s="1"/>
      <c r="Y73" s="1"/>
      <c r="Z73" s="1"/>
    </row>
    <row r="74" ht="15.75" customHeight="1">
      <c r="A74" s="1"/>
      <c r="B74" s="1"/>
      <c r="C74" s="1"/>
      <c r="D74" s="1"/>
      <c r="E74" s="1"/>
      <c r="F74" s="1"/>
      <c r="G74" s="1"/>
      <c r="H74" s="1"/>
      <c r="I74" s="2"/>
      <c r="J74" s="2"/>
      <c r="K74" s="3"/>
      <c r="L74" s="2"/>
      <c r="M74" s="1"/>
      <c r="N74" s="1"/>
      <c r="O74" s="1"/>
      <c r="P74" s="1"/>
      <c r="Q74" s="1"/>
      <c r="R74" s="1"/>
      <c r="S74" s="1"/>
      <c r="T74" s="1"/>
      <c r="U74" s="1"/>
      <c r="V74" s="1"/>
      <c r="W74" s="1"/>
      <c r="X74" s="1"/>
      <c r="Y74" s="1"/>
      <c r="Z74" s="1"/>
    </row>
    <row r="75" ht="15.75" customHeight="1">
      <c r="A75" s="1"/>
      <c r="B75" s="1"/>
      <c r="C75" s="1"/>
      <c r="D75" s="1"/>
      <c r="E75" s="1"/>
      <c r="F75" s="1"/>
      <c r="G75" s="1"/>
      <c r="H75" s="1"/>
      <c r="I75" s="2"/>
      <c r="J75" s="2"/>
      <c r="K75" s="3"/>
      <c r="L75" s="2"/>
      <c r="M75" s="1"/>
      <c r="N75" s="1"/>
      <c r="O75" s="1"/>
      <c r="P75" s="1"/>
      <c r="Q75" s="1"/>
      <c r="R75" s="1"/>
      <c r="S75" s="1"/>
      <c r="T75" s="1"/>
      <c r="U75" s="1"/>
      <c r="V75" s="1"/>
      <c r="W75" s="1"/>
      <c r="X75" s="1"/>
      <c r="Y75" s="1"/>
      <c r="Z75" s="1"/>
    </row>
    <row r="76" ht="15.75" customHeight="1">
      <c r="A76" s="1"/>
      <c r="B76" s="1"/>
      <c r="C76" s="1"/>
      <c r="D76" s="1"/>
      <c r="E76" s="1"/>
      <c r="F76" s="1"/>
      <c r="G76" s="1"/>
      <c r="H76" s="1"/>
      <c r="I76" s="2"/>
      <c r="J76" s="2"/>
      <c r="K76" s="3"/>
      <c r="L76" s="2"/>
      <c r="M76" s="1"/>
      <c r="N76" s="1"/>
      <c r="O76" s="1"/>
      <c r="P76" s="1"/>
      <c r="Q76" s="1"/>
      <c r="R76" s="1"/>
      <c r="S76" s="1"/>
      <c r="T76" s="1"/>
      <c r="U76" s="1"/>
      <c r="V76" s="1"/>
      <c r="W76" s="1"/>
      <c r="X76" s="1"/>
      <c r="Y76" s="1"/>
      <c r="Z76" s="1"/>
    </row>
    <row r="77" ht="15.75" customHeight="1">
      <c r="A77" s="1"/>
      <c r="B77" s="1"/>
      <c r="C77" s="1"/>
      <c r="D77" s="1"/>
      <c r="E77" s="1"/>
      <c r="F77" s="1"/>
      <c r="G77" s="1"/>
      <c r="H77" s="1"/>
      <c r="I77" s="2"/>
      <c r="J77" s="2"/>
      <c r="K77" s="3"/>
      <c r="L77" s="2"/>
      <c r="M77" s="1"/>
      <c r="N77" s="1"/>
      <c r="O77" s="1"/>
      <c r="P77" s="1"/>
      <c r="Q77" s="1"/>
      <c r="R77" s="1"/>
      <c r="S77" s="1"/>
      <c r="T77" s="1"/>
      <c r="U77" s="1"/>
      <c r="V77" s="1"/>
      <c r="W77" s="1"/>
      <c r="X77" s="1"/>
      <c r="Y77" s="1"/>
      <c r="Z77" s="1"/>
    </row>
    <row r="78" ht="15.75" customHeight="1">
      <c r="A78" s="1"/>
      <c r="B78" s="1"/>
      <c r="C78" s="1"/>
      <c r="D78" s="1"/>
      <c r="E78" s="1"/>
      <c r="F78" s="1"/>
      <c r="G78" s="1"/>
      <c r="H78" s="1"/>
      <c r="I78" s="2"/>
      <c r="J78" s="2"/>
      <c r="K78" s="3"/>
      <c r="L78" s="2"/>
      <c r="M78" s="1"/>
      <c r="N78" s="1"/>
      <c r="O78" s="1"/>
      <c r="P78" s="1"/>
      <c r="Q78" s="1"/>
      <c r="R78" s="1"/>
      <c r="S78" s="1"/>
      <c r="T78" s="1"/>
      <c r="U78" s="1"/>
      <c r="V78" s="1"/>
      <c r="W78" s="1"/>
      <c r="X78" s="1"/>
      <c r="Y78" s="1"/>
      <c r="Z78" s="1"/>
    </row>
    <row r="79" ht="15.75" customHeight="1">
      <c r="A79" s="1"/>
      <c r="B79" s="1"/>
      <c r="C79" s="1"/>
      <c r="D79" s="1"/>
      <c r="E79" s="1"/>
      <c r="F79" s="1"/>
      <c r="G79" s="1"/>
      <c r="H79" s="1"/>
      <c r="I79" s="2"/>
      <c r="J79" s="2"/>
      <c r="K79" s="3"/>
      <c r="L79" s="2"/>
      <c r="M79" s="1"/>
      <c r="N79" s="1"/>
      <c r="O79" s="1"/>
      <c r="P79" s="1"/>
      <c r="Q79" s="1"/>
      <c r="R79" s="1"/>
      <c r="S79" s="1"/>
      <c r="T79" s="1"/>
      <c r="U79" s="1"/>
      <c r="V79" s="1"/>
      <c r="W79" s="1"/>
      <c r="X79" s="1"/>
      <c r="Y79" s="1"/>
      <c r="Z79" s="1"/>
    </row>
    <row r="80" ht="15.75" customHeight="1">
      <c r="A80" s="1"/>
      <c r="B80" s="1"/>
      <c r="C80" s="1"/>
      <c r="D80" s="1"/>
      <c r="E80" s="1"/>
      <c r="F80" s="1"/>
      <c r="G80" s="1"/>
      <c r="H80" s="1"/>
      <c r="I80" s="2"/>
      <c r="J80" s="2"/>
      <c r="K80" s="3"/>
      <c r="L80" s="2"/>
      <c r="M80" s="1"/>
      <c r="N80" s="1"/>
      <c r="O80" s="1"/>
      <c r="P80" s="1"/>
      <c r="Q80" s="1"/>
      <c r="R80" s="1"/>
      <c r="S80" s="1"/>
      <c r="T80" s="1"/>
      <c r="U80" s="1"/>
      <c r="V80" s="1"/>
      <c r="W80" s="1"/>
      <c r="X80" s="1"/>
      <c r="Y80" s="1"/>
      <c r="Z80" s="1"/>
    </row>
    <row r="81" ht="15.75" customHeight="1">
      <c r="A81" s="1"/>
      <c r="B81" s="1"/>
      <c r="C81" s="1"/>
      <c r="D81" s="1"/>
      <c r="E81" s="1"/>
      <c r="F81" s="1"/>
      <c r="G81" s="1"/>
      <c r="H81" s="1"/>
      <c r="I81" s="2"/>
      <c r="J81" s="2"/>
      <c r="K81" s="3"/>
      <c r="L81" s="2"/>
      <c r="M81" s="1"/>
      <c r="N81" s="1"/>
      <c r="O81" s="1"/>
      <c r="P81" s="1"/>
      <c r="Q81" s="1"/>
      <c r="R81" s="1"/>
      <c r="S81" s="1"/>
      <c r="T81" s="1"/>
      <c r="U81" s="1"/>
      <c r="V81" s="1"/>
      <c r="W81" s="1"/>
      <c r="X81" s="1"/>
      <c r="Y81" s="1"/>
      <c r="Z81" s="1"/>
    </row>
    <row r="82" ht="15.75" customHeight="1">
      <c r="A82" s="1"/>
      <c r="B82" s="1"/>
      <c r="C82" s="1"/>
      <c r="D82" s="1"/>
      <c r="E82" s="1"/>
      <c r="F82" s="1"/>
      <c r="G82" s="1"/>
      <c r="H82" s="1"/>
      <c r="I82" s="2"/>
      <c r="J82" s="2"/>
      <c r="K82" s="3"/>
      <c r="L82" s="2"/>
      <c r="M82" s="1"/>
      <c r="N82" s="1"/>
      <c r="O82" s="1"/>
      <c r="P82" s="1"/>
      <c r="Q82" s="1"/>
      <c r="R82" s="1"/>
      <c r="S82" s="1"/>
      <c r="T82" s="1"/>
      <c r="U82" s="1"/>
      <c r="V82" s="1"/>
      <c r="W82" s="1"/>
      <c r="X82" s="1"/>
      <c r="Y82" s="1"/>
      <c r="Z82" s="1"/>
    </row>
    <row r="83" ht="15.75" customHeight="1">
      <c r="A83" s="1"/>
      <c r="B83" s="1"/>
      <c r="C83" s="1"/>
      <c r="D83" s="1"/>
      <c r="E83" s="1"/>
      <c r="F83" s="1"/>
      <c r="G83" s="1"/>
      <c r="H83" s="1"/>
      <c r="I83" s="2"/>
      <c r="J83" s="2"/>
      <c r="K83" s="3"/>
      <c r="L83" s="2"/>
      <c r="M83" s="1"/>
      <c r="N83" s="1"/>
      <c r="O83" s="1"/>
      <c r="P83" s="1"/>
      <c r="Q83" s="1"/>
      <c r="R83" s="1"/>
      <c r="S83" s="1"/>
      <c r="T83" s="1"/>
      <c r="U83" s="1"/>
      <c r="V83" s="1"/>
      <c r="W83" s="1"/>
      <c r="X83" s="1"/>
      <c r="Y83" s="1"/>
      <c r="Z83" s="1"/>
    </row>
    <row r="84" ht="15.75" customHeight="1">
      <c r="A84" s="1"/>
      <c r="B84" s="1"/>
      <c r="C84" s="1"/>
      <c r="D84" s="1"/>
      <c r="E84" s="1"/>
      <c r="F84" s="1"/>
      <c r="G84" s="1"/>
      <c r="H84" s="1"/>
      <c r="I84" s="2"/>
      <c r="J84" s="2"/>
      <c r="K84" s="3"/>
      <c r="L84" s="2"/>
      <c r="M84" s="1"/>
      <c r="N84" s="1"/>
      <c r="O84" s="1"/>
      <c r="P84" s="1"/>
      <c r="Q84" s="1"/>
      <c r="R84" s="1"/>
      <c r="S84" s="1"/>
      <c r="T84" s="1"/>
      <c r="U84" s="1"/>
      <c r="V84" s="1"/>
      <c r="W84" s="1"/>
      <c r="X84" s="1"/>
      <c r="Y84" s="1"/>
      <c r="Z84" s="1"/>
    </row>
    <row r="85" ht="15.75" customHeight="1">
      <c r="A85" s="1"/>
      <c r="B85" s="1"/>
      <c r="C85" s="1"/>
      <c r="D85" s="1"/>
      <c r="E85" s="1"/>
      <c r="F85" s="1"/>
      <c r="G85" s="1"/>
      <c r="H85" s="1"/>
      <c r="I85" s="2"/>
      <c r="J85" s="2"/>
      <c r="K85" s="3"/>
      <c r="L85" s="2"/>
      <c r="M85" s="1"/>
      <c r="N85" s="1"/>
      <c r="O85" s="1"/>
      <c r="P85" s="1"/>
      <c r="Q85" s="1"/>
      <c r="R85" s="1"/>
      <c r="S85" s="1"/>
      <c r="T85" s="1"/>
      <c r="U85" s="1"/>
      <c r="V85" s="1"/>
      <c r="W85" s="1"/>
      <c r="X85" s="1"/>
      <c r="Y85" s="1"/>
      <c r="Z85" s="1"/>
    </row>
    <row r="86" ht="15.75" customHeight="1">
      <c r="A86" s="1"/>
      <c r="B86" s="1"/>
      <c r="C86" s="1"/>
      <c r="D86" s="1"/>
      <c r="E86" s="1"/>
      <c r="F86" s="1"/>
      <c r="G86" s="1"/>
      <c r="H86" s="1"/>
      <c r="I86" s="2"/>
      <c r="J86" s="2"/>
      <c r="K86" s="3"/>
      <c r="L86" s="2"/>
      <c r="M86" s="1"/>
      <c r="N86" s="1"/>
      <c r="O86" s="1"/>
      <c r="P86" s="1"/>
      <c r="Q86" s="1"/>
      <c r="R86" s="1"/>
      <c r="S86" s="1"/>
      <c r="T86" s="1"/>
      <c r="U86" s="1"/>
      <c r="V86" s="1"/>
      <c r="W86" s="1"/>
      <c r="X86" s="1"/>
      <c r="Y86" s="1"/>
      <c r="Z86" s="1"/>
    </row>
    <row r="87" ht="15.75" customHeight="1">
      <c r="A87" s="1"/>
      <c r="B87" s="1"/>
      <c r="C87" s="1"/>
      <c r="D87" s="1"/>
      <c r="E87" s="1"/>
      <c r="F87" s="1"/>
      <c r="G87" s="1"/>
      <c r="H87" s="1"/>
      <c r="I87" s="2"/>
      <c r="J87" s="2"/>
      <c r="K87" s="3"/>
      <c r="L87" s="2"/>
      <c r="M87" s="1"/>
      <c r="N87" s="1"/>
      <c r="O87" s="1"/>
      <c r="P87" s="1"/>
      <c r="Q87" s="1"/>
      <c r="R87" s="1"/>
      <c r="S87" s="1"/>
      <c r="T87" s="1"/>
      <c r="U87" s="1"/>
      <c r="V87" s="1"/>
      <c r="W87" s="1"/>
      <c r="X87" s="1"/>
      <c r="Y87" s="1"/>
      <c r="Z87" s="1"/>
    </row>
    <row r="88" ht="15.75" customHeight="1">
      <c r="A88" s="1"/>
      <c r="B88" s="1"/>
      <c r="C88" s="1"/>
      <c r="D88" s="1"/>
      <c r="E88" s="1"/>
      <c r="F88" s="1"/>
      <c r="G88" s="1"/>
      <c r="H88" s="1"/>
      <c r="I88" s="2"/>
      <c r="J88" s="2"/>
      <c r="K88" s="3"/>
      <c r="L88" s="2"/>
      <c r="M88" s="1"/>
      <c r="N88" s="1"/>
      <c r="O88" s="1"/>
      <c r="P88" s="1"/>
      <c r="Q88" s="1"/>
      <c r="R88" s="1"/>
      <c r="S88" s="1"/>
      <c r="T88" s="1"/>
      <c r="U88" s="1"/>
      <c r="V88" s="1"/>
      <c r="W88" s="1"/>
      <c r="X88" s="1"/>
      <c r="Y88" s="1"/>
      <c r="Z88" s="1"/>
    </row>
    <row r="89" ht="15.75" customHeight="1">
      <c r="A89" s="1"/>
      <c r="B89" s="1"/>
      <c r="C89" s="1"/>
      <c r="D89" s="1"/>
      <c r="E89" s="1"/>
      <c r="F89" s="1"/>
      <c r="G89" s="1"/>
      <c r="H89" s="1"/>
      <c r="I89" s="2"/>
      <c r="J89" s="2"/>
      <c r="K89" s="3"/>
      <c r="L89" s="2"/>
      <c r="M89" s="1"/>
      <c r="N89" s="1"/>
      <c r="O89" s="1"/>
      <c r="P89" s="1"/>
      <c r="Q89" s="1"/>
      <c r="R89" s="1"/>
      <c r="S89" s="1"/>
      <c r="T89" s="1"/>
      <c r="U89" s="1"/>
      <c r="V89" s="1"/>
      <c r="W89" s="1"/>
      <c r="X89" s="1"/>
      <c r="Y89" s="1"/>
      <c r="Z89" s="1"/>
    </row>
    <row r="90" ht="15.75" customHeight="1">
      <c r="A90" s="1"/>
      <c r="B90" s="1"/>
      <c r="C90" s="1"/>
      <c r="D90" s="1"/>
      <c r="E90" s="1"/>
      <c r="F90" s="1"/>
      <c r="G90" s="1"/>
      <c r="H90" s="1"/>
      <c r="I90" s="2"/>
      <c r="J90" s="2"/>
      <c r="K90" s="3"/>
      <c r="L90" s="2"/>
      <c r="M90" s="1"/>
      <c r="N90" s="1"/>
      <c r="O90" s="1"/>
      <c r="P90" s="1"/>
      <c r="Q90" s="1"/>
      <c r="R90" s="1"/>
      <c r="S90" s="1"/>
      <c r="T90" s="1"/>
      <c r="U90" s="1"/>
      <c r="V90" s="1"/>
      <c r="W90" s="1"/>
      <c r="X90" s="1"/>
      <c r="Y90" s="1"/>
      <c r="Z90" s="1"/>
    </row>
    <row r="91" ht="15.75" customHeight="1">
      <c r="A91" s="1"/>
      <c r="B91" s="1"/>
      <c r="C91" s="1"/>
      <c r="D91" s="1"/>
      <c r="E91" s="1"/>
      <c r="F91" s="1"/>
      <c r="G91" s="1"/>
      <c r="H91" s="1"/>
      <c r="I91" s="2"/>
      <c r="J91" s="2"/>
      <c r="K91" s="3"/>
      <c r="L91" s="2"/>
      <c r="M91" s="1"/>
      <c r="N91" s="1"/>
      <c r="O91" s="1"/>
      <c r="P91" s="1"/>
      <c r="Q91" s="1"/>
      <c r="R91" s="1"/>
      <c r="S91" s="1"/>
      <c r="T91" s="1"/>
      <c r="U91" s="1"/>
      <c r="V91" s="1"/>
      <c r="W91" s="1"/>
      <c r="X91" s="1"/>
      <c r="Y91" s="1"/>
      <c r="Z91" s="1"/>
    </row>
    <row r="92" ht="15.75" customHeight="1">
      <c r="A92" s="1"/>
      <c r="B92" s="1"/>
      <c r="C92" s="1"/>
      <c r="D92" s="1"/>
      <c r="E92" s="1"/>
      <c r="F92" s="1"/>
      <c r="G92" s="1"/>
      <c r="H92" s="1"/>
      <c r="I92" s="2"/>
      <c r="J92" s="2"/>
      <c r="K92" s="3"/>
      <c r="L92" s="2"/>
      <c r="M92" s="1"/>
      <c r="N92" s="1"/>
      <c r="O92" s="1"/>
      <c r="P92" s="1"/>
      <c r="Q92" s="1"/>
      <c r="R92" s="1"/>
      <c r="S92" s="1"/>
      <c r="T92" s="1"/>
      <c r="U92" s="1"/>
      <c r="V92" s="1"/>
      <c r="W92" s="1"/>
      <c r="X92" s="1"/>
      <c r="Y92" s="1"/>
      <c r="Z92" s="1"/>
    </row>
    <row r="93" ht="15.75" customHeight="1">
      <c r="A93" s="1"/>
      <c r="B93" s="1"/>
      <c r="C93" s="1"/>
      <c r="D93" s="1"/>
      <c r="E93" s="1"/>
      <c r="F93" s="1"/>
      <c r="G93" s="1"/>
      <c r="H93" s="1"/>
      <c r="I93" s="2"/>
      <c r="J93" s="2"/>
      <c r="K93" s="3"/>
      <c r="L93" s="2"/>
      <c r="M93" s="1"/>
      <c r="N93" s="1"/>
      <c r="O93" s="1"/>
      <c r="P93" s="1"/>
      <c r="Q93" s="1"/>
      <c r="R93" s="1"/>
      <c r="S93" s="1"/>
      <c r="T93" s="1"/>
      <c r="U93" s="1"/>
      <c r="V93" s="1"/>
      <c r="W93" s="1"/>
      <c r="X93" s="1"/>
      <c r="Y93" s="1"/>
      <c r="Z93" s="1"/>
    </row>
    <row r="94" ht="15.75" customHeight="1">
      <c r="A94" s="1"/>
      <c r="B94" s="1"/>
      <c r="C94" s="1"/>
      <c r="D94" s="1"/>
      <c r="E94" s="1"/>
      <c r="F94" s="1"/>
      <c r="G94" s="1"/>
      <c r="H94" s="1"/>
      <c r="I94" s="2"/>
      <c r="J94" s="2"/>
      <c r="K94" s="3"/>
      <c r="L94" s="2"/>
      <c r="M94" s="1"/>
      <c r="N94" s="1"/>
      <c r="O94" s="1"/>
      <c r="P94" s="1"/>
      <c r="Q94" s="1"/>
      <c r="R94" s="1"/>
      <c r="S94" s="1"/>
      <c r="T94" s="1"/>
      <c r="U94" s="1"/>
      <c r="V94" s="1"/>
      <c r="W94" s="1"/>
      <c r="X94" s="1"/>
      <c r="Y94" s="1"/>
      <c r="Z94" s="1"/>
    </row>
    <row r="95" ht="15.75" customHeight="1">
      <c r="A95" s="1"/>
      <c r="B95" s="1"/>
      <c r="C95" s="1"/>
      <c r="D95" s="1"/>
      <c r="E95" s="1"/>
      <c r="F95" s="1"/>
      <c r="G95" s="1"/>
      <c r="H95" s="1"/>
      <c r="I95" s="2"/>
      <c r="J95" s="2"/>
      <c r="K95" s="3"/>
      <c r="L95" s="2"/>
      <c r="M95" s="1"/>
      <c r="N95" s="1"/>
      <c r="O95" s="1"/>
      <c r="P95" s="1"/>
      <c r="Q95" s="1"/>
      <c r="R95" s="1"/>
      <c r="S95" s="1"/>
      <c r="T95" s="1"/>
      <c r="U95" s="1"/>
      <c r="V95" s="1"/>
      <c r="W95" s="1"/>
      <c r="X95" s="1"/>
      <c r="Y95" s="1"/>
      <c r="Z95" s="1"/>
    </row>
    <row r="96" ht="15.75" customHeight="1">
      <c r="A96" s="1"/>
      <c r="B96" s="1"/>
      <c r="C96" s="1"/>
      <c r="D96" s="1"/>
      <c r="E96" s="1"/>
      <c r="F96" s="1"/>
      <c r="G96" s="1"/>
      <c r="H96" s="1"/>
      <c r="I96" s="2"/>
      <c r="J96" s="2"/>
      <c r="K96" s="3"/>
      <c r="L96" s="2"/>
      <c r="M96" s="1"/>
      <c r="N96" s="1"/>
      <c r="O96" s="1"/>
      <c r="P96" s="1"/>
      <c r="Q96" s="1"/>
      <c r="R96" s="1"/>
      <c r="S96" s="1"/>
      <c r="T96" s="1"/>
      <c r="U96" s="1"/>
      <c r="V96" s="1"/>
      <c r="W96" s="1"/>
      <c r="X96" s="1"/>
      <c r="Y96" s="1"/>
      <c r="Z96" s="1"/>
    </row>
    <row r="97" ht="15.75" customHeight="1">
      <c r="A97" s="1"/>
      <c r="B97" s="1"/>
      <c r="C97" s="1"/>
      <c r="D97" s="1"/>
      <c r="E97" s="1"/>
      <c r="F97" s="1"/>
      <c r="G97" s="1"/>
      <c r="H97" s="1"/>
      <c r="I97" s="2"/>
      <c r="J97" s="2"/>
      <c r="K97" s="3"/>
      <c r="L97" s="2"/>
      <c r="M97" s="1"/>
      <c r="N97" s="1"/>
      <c r="O97" s="1"/>
      <c r="P97" s="1"/>
      <c r="Q97" s="1"/>
      <c r="R97" s="1"/>
      <c r="S97" s="1"/>
      <c r="T97" s="1"/>
      <c r="U97" s="1"/>
      <c r="V97" s="1"/>
      <c r="W97" s="1"/>
      <c r="X97" s="1"/>
      <c r="Y97" s="1"/>
      <c r="Z97" s="1"/>
    </row>
    <row r="98" ht="15.75" customHeight="1">
      <c r="A98" s="1"/>
      <c r="B98" s="1"/>
      <c r="C98" s="1"/>
      <c r="D98" s="1"/>
      <c r="E98" s="1"/>
      <c r="F98" s="1"/>
      <c r="G98" s="1"/>
      <c r="H98" s="1"/>
      <c r="I98" s="2"/>
      <c r="J98" s="2"/>
      <c r="K98" s="3"/>
      <c r="L98" s="2"/>
      <c r="M98" s="1"/>
      <c r="N98" s="1"/>
      <c r="O98" s="1"/>
      <c r="P98" s="1"/>
      <c r="Q98" s="1"/>
      <c r="R98" s="1"/>
      <c r="S98" s="1"/>
      <c r="T98" s="1"/>
      <c r="U98" s="1"/>
      <c r="V98" s="1"/>
      <c r="W98" s="1"/>
      <c r="X98" s="1"/>
      <c r="Y98" s="1"/>
      <c r="Z98" s="1"/>
    </row>
    <row r="99" ht="15.75" customHeight="1">
      <c r="A99" s="1"/>
      <c r="B99" s="1"/>
      <c r="C99" s="1"/>
      <c r="D99" s="1"/>
      <c r="E99" s="1"/>
      <c r="F99" s="1"/>
      <c r="G99" s="1"/>
      <c r="H99" s="1"/>
      <c r="I99" s="2"/>
      <c r="J99" s="2"/>
      <c r="K99" s="3"/>
      <c r="L99" s="2"/>
      <c r="M99" s="1"/>
      <c r="N99" s="1"/>
      <c r="O99" s="1"/>
      <c r="P99" s="1"/>
      <c r="Q99" s="1"/>
      <c r="R99" s="1"/>
      <c r="S99" s="1"/>
      <c r="T99" s="1"/>
      <c r="U99" s="1"/>
      <c r="V99" s="1"/>
      <c r="W99" s="1"/>
      <c r="X99" s="1"/>
      <c r="Y99" s="1"/>
      <c r="Z99" s="1"/>
    </row>
    <row r="100" ht="15.75" customHeight="1">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conditionalFormatting sqref="L6:L9 L11:L27">
    <cfRule type="colorScale" priority="1">
      <colorScale>
        <cfvo type="min"/>
        <cfvo type="max"/>
        <color rgb="FF57BB8A"/>
        <color rgb="FFFFFFFF"/>
      </colorScale>
    </cfRule>
  </conditionalFormatting>
  <conditionalFormatting sqref="L12:L19">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dataValidation type="list" allowBlank="1" showErrorMessage="1" sqref="L6:L27">
      <formula1>$L$33:$L$36</formula1>
    </dataValidation>
    <dataValidation type="list" allowBlank="1" showErrorMessage="1" sqref="K6:K27">
      <formula1>$K$33:$K$35</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37.5"/>
    <col customWidth="1" min="6" max="15" width="10.63"/>
    <col customWidth="1" min="16" max="16" width="2.63"/>
    <col customWidth="1" min="17" max="26" width="9.38"/>
  </cols>
  <sheetData>
    <row r="2" ht="15.0" hidden="1" customHeight="1"/>
    <row r="3" ht="15.0" hidden="1" customHeight="1"/>
    <row r="4" hidden="1">
      <c r="C4" s="26"/>
      <c r="D4" s="26"/>
      <c r="E4" s="26"/>
      <c r="F4" s="27"/>
    </row>
    <row r="5" hidden="1">
      <c r="C5" s="26"/>
      <c r="D5" s="26"/>
      <c r="E5" s="26"/>
      <c r="F5" s="27"/>
    </row>
    <row r="6" ht="39.75" customHeight="1">
      <c r="B6" s="28" t="s">
        <v>222</v>
      </c>
      <c r="C6" s="5"/>
      <c r="D6" s="5"/>
      <c r="E6" s="5"/>
      <c r="F6" s="5"/>
      <c r="G6" s="5"/>
      <c r="H6" s="5"/>
      <c r="I6" s="5"/>
      <c r="J6" s="5"/>
      <c r="K6" s="5"/>
      <c r="L6" s="5"/>
      <c r="M6" s="5"/>
      <c r="N6" s="5"/>
      <c r="O6" s="5"/>
      <c r="P6" s="6"/>
    </row>
    <row r="7" ht="9.75" customHeight="1">
      <c r="A7" s="29"/>
      <c r="B7" s="29"/>
      <c r="C7" s="30"/>
      <c r="D7" s="30"/>
      <c r="E7" s="30"/>
      <c r="F7" s="30"/>
      <c r="G7" s="30"/>
      <c r="H7" s="30"/>
      <c r="I7" s="30"/>
      <c r="J7" s="30"/>
      <c r="K7" s="30"/>
      <c r="L7" s="30"/>
      <c r="M7" s="30"/>
      <c r="N7" s="30"/>
      <c r="O7" s="30"/>
      <c r="P7" s="29"/>
      <c r="Q7" s="29"/>
      <c r="R7" s="29"/>
      <c r="S7" s="29"/>
      <c r="T7" s="29"/>
      <c r="U7" s="29"/>
      <c r="V7" s="29"/>
      <c r="W7" s="29"/>
      <c r="X7" s="29"/>
      <c r="Y7" s="29"/>
      <c r="Z7" s="29"/>
    </row>
    <row r="8" ht="9.75" customHeight="1">
      <c r="B8" s="31"/>
      <c r="C8" s="32"/>
      <c r="D8" s="32"/>
      <c r="E8" s="32"/>
      <c r="F8" s="33"/>
      <c r="G8" s="34"/>
      <c r="H8" s="34"/>
      <c r="I8" s="34"/>
      <c r="J8" s="34"/>
      <c r="K8" s="34"/>
      <c r="L8" s="34"/>
      <c r="M8" s="34"/>
      <c r="N8" s="34"/>
      <c r="O8" s="34"/>
      <c r="P8" s="35"/>
      <c r="Q8" s="29"/>
    </row>
    <row r="9" ht="30.0" customHeight="1">
      <c r="B9" s="36"/>
      <c r="C9" s="37" t="s">
        <v>1</v>
      </c>
      <c r="D9" s="38"/>
      <c r="E9" s="39" t="s">
        <v>223</v>
      </c>
      <c r="F9" s="6"/>
      <c r="G9" s="38"/>
      <c r="H9" s="39" t="s">
        <v>11</v>
      </c>
      <c r="I9" s="6"/>
      <c r="J9" s="40"/>
      <c r="K9" s="40"/>
      <c r="L9" s="40"/>
      <c r="M9" s="40"/>
      <c r="N9" s="40"/>
      <c r="O9" s="40"/>
      <c r="P9" s="41"/>
      <c r="Q9" s="29"/>
    </row>
    <row r="10" ht="30.0" customHeight="1">
      <c r="B10" s="36"/>
      <c r="C10" s="42" t="s">
        <v>47</v>
      </c>
      <c r="D10" s="43"/>
      <c r="E10" s="44" t="str">
        <f>VLOOKUP(C10,'Formato descripción HU'!B6:O23,5,0)</f>
        <v>Staff</v>
      </c>
      <c r="F10" s="6"/>
      <c r="G10" s="45"/>
      <c r="H10" s="44" t="str">
        <f>VLOOKUP(C10,'Formato descripción HU'!B6:O23,11,0)</f>
        <v>Terminado</v>
      </c>
      <c r="I10" s="6"/>
      <c r="J10" s="45"/>
      <c r="K10" s="40"/>
      <c r="L10" s="40"/>
      <c r="M10" s="40"/>
      <c r="N10" s="40"/>
      <c r="O10" s="40"/>
      <c r="P10" s="41"/>
      <c r="Q10" s="29"/>
    </row>
    <row r="11" ht="9.75" customHeight="1">
      <c r="A11" s="29"/>
      <c r="B11" s="36"/>
      <c r="C11" s="46"/>
      <c r="D11" s="43"/>
      <c r="E11" s="47"/>
      <c r="F11" s="47"/>
      <c r="G11" s="45"/>
      <c r="H11" s="47"/>
      <c r="I11" s="47"/>
      <c r="J11" s="45"/>
      <c r="K11" s="47"/>
      <c r="L11" s="47"/>
      <c r="M11" s="40"/>
      <c r="N11" s="47"/>
      <c r="O11" s="47"/>
      <c r="P11" s="41"/>
      <c r="Q11" s="29"/>
      <c r="R11" s="29"/>
      <c r="S11" s="29"/>
      <c r="T11" s="29"/>
      <c r="U11" s="29"/>
      <c r="V11" s="29"/>
      <c r="W11" s="29"/>
      <c r="X11" s="29"/>
      <c r="Y11" s="29"/>
      <c r="Z11" s="29"/>
    </row>
    <row r="12" ht="30.0" customHeight="1">
      <c r="A12" s="29"/>
      <c r="B12" s="36"/>
      <c r="C12" s="37" t="s">
        <v>224</v>
      </c>
      <c r="D12" s="43"/>
      <c r="E12" s="39" t="s">
        <v>10</v>
      </c>
      <c r="F12" s="6"/>
      <c r="G12" s="45"/>
      <c r="H12" s="39" t="s">
        <v>225</v>
      </c>
      <c r="I12" s="6"/>
      <c r="J12" s="45"/>
      <c r="K12" s="47"/>
      <c r="L12" s="47"/>
      <c r="M12" s="40"/>
      <c r="N12" s="47"/>
      <c r="O12" s="47"/>
      <c r="P12" s="41"/>
      <c r="Q12" s="29"/>
      <c r="R12" s="29"/>
      <c r="S12" s="29"/>
      <c r="T12" s="29"/>
      <c r="U12" s="29"/>
      <c r="V12" s="29"/>
      <c r="W12" s="29"/>
      <c r="X12" s="29"/>
      <c r="Y12" s="29"/>
      <c r="Z12" s="29"/>
    </row>
    <row r="13" ht="30.0" customHeight="1">
      <c r="A13" s="29"/>
      <c r="B13" s="36"/>
      <c r="C13" s="48" t="str">
        <f>VLOOKUP('Historia de Usuario'!C10,'Formato descripción HU'!B6:O23,8,0)</f>
        <v>4h</v>
      </c>
      <c r="D13" s="43"/>
      <c r="E13" s="44" t="str">
        <f>VLOOKUP(C10,'Formato descripción HU'!B6:O23,10,0)</f>
        <v>Alta</v>
      </c>
      <c r="F13" s="6"/>
      <c r="G13" s="45"/>
      <c r="H13" s="44" t="str">
        <f>VLOOKUP(C10,'Formato descripción HU'!B6:O23,7,0)</f>
        <v>David Moran</v>
      </c>
      <c r="I13" s="6"/>
      <c r="J13" s="45"/>
      <c r="K13" s="47"/>
      <c r="L13" s="47"/>
      <c r="M13" s="40"/>
      <c r="N13" s="47"/>
      <c r="O13" s="47"/>
      <c r="P13" s="41"/>
      <c r="Q13" s="29"/>
      <c r="R13" s="29"/>
      <c r="S13" s="29"/>
      <c r="T13" s="29"/>
      <c r="U13" s="29"/>
      <c r="V13" s="29"/>
      <c r="W13" s="29"/>
      <c r="X13" s="29"/>
      <c r="Y13" s="29"/>
      <c r="Z13" s="29"/>
    </row>
    <row r="14" ht="9.75" customHeight="1">
      <c r="A14" s="29"/>
      <c r="B14" s="36"/>
      <c r="C14" s="40"/>
      <c r="D14" s="43"/>
      <c r="E14" s="40"/>
      <c r="F14" s="40"/>
      <c r="G14" s="45"/>
      <c r="H14" s="45"/>
      <c r="I14" s="40"/>
      <c r="J14" s="40"/>
      <c r="K14" s="40"/>
      <c r="L14" s="40"/>
      <c r="M14" s="40"/>
      <c r="N14" s="40"/>
      <c r="O14" s="40"/>
      <c r="P14" s="41"/>
      <c r="Q14" s="29"/>
      <c r="R14" s="29"/>
      <c r="S14" s="29"/>
      <c r="T14" s="29"/>
      <c r="U14" s="29"/>
      <c r="V14" s="29"/>
      <c r="W14" s="29"/>
      <c r="X14" s="29"/>
      <c r="Y14" s="29"/>
      <c r="Z14" s="29"/>
    </row>
    <row r="15" ht="19.5" customHeight="1">
      <c r="A15" s="29"/>
      <c r="B15" s="36"/>
      <c r="C15" s="49" t="s">
        <v>226</v>
      </c>
      <c r="D15" s="50" t="str">
        <f>VLOOKUP(C10,'Formato descripción HU'!B6:O23,3,0)</f>
        <v>Subir imagen o PDF del documento real.</v>
      </c>
      <c r="E15" s="51"/>
      <c r="F15" s="52"/>
      <c r="G15" s="49" t="s">
        <v>227</v>
      </c>
      <c r="H15" s="50" t="str">
        <f>VLOOKUP(C10,'Formato descripción HU'!B6:O23,4,0)</f>
        <v>Permitir la verificación documental y resguardar evidencia en Drive.</v>
      </c>
      <c r="I15" s="53"/>
      <c r="J15" s="51"/>
      <c r="K15" s="52"/>
      <c r="L15" s="49" t="s">
        <v>228</v>
      </c>
      <c r="M15" s="54" t="str">
        <f>VLOOKUP(C10,'Formato descripción HU'!B6:O23,6,0)</f>
        <v>El usuario selecciona el archivo del comprobante y lo sube al sistema. Este valida el formato, almacena el documento en la carpeta correspondiente del Drive, genera un enlace de acceso y lo vincula al registro del comprobante para ser utilizado en verificaciones.</v>
      </c>
      <c r="N15" s="53"/>
      <c r="O15" s="51"/>
      <c r="P15" s="41"/>
      <c r="Q15" s="29"/>
      <c r="R15" s="29"/>
      <c r="S15" s="29"/>
      <c r="T15" s="29"/>
      <c r="U15" s="29"/>
      <c r="V15" s="29"/>
      <c r="W15" s="29"/>
      <c r="X15" s="29"/>
      <c r="Y15" s="29"/>
      <c r="Z15" s="29"/>
    </row>
    <row r="16" ht="19.5" customHeight="1">
      <c r="A16" s="29"/>
      <c r="B16" s="36"/>
      <c r="C16" s="55"/>
      <c r="D16" s="56"/>
      <c r="E16" s="57"/>
      <c r="F16" s="52"/>
      <c r="G16" s="55"/>
      <c r="H16" s="56"/>
      <c r="J16" s="57"/>
      <c r="K16" s="52"/>
      <c r="L16" s="55"/>
      <c r="M16" s="56"/>
      <c r="O16" s="57"/>
      <c r="P16" s="41"/>
      <c r="Q16" s="29"/>
      <c r="R16" s="29"/>
      <c r="S16" s="29"/>
      <c r="T16" s="29"/>
      <c r="U16" s="29"/>
      <c r="V16" s="29"/>
      <c r="W16" s="29"/>
      <c r="X16" s="29"/>
      <c r="Y16" s="29"/>
      <c r="Z16" s="29"/>
    </row>
    <row r="17" ht="42.0" customHeight="1">
      <c r="A17" s="29"/>
      <c r="B17" s="36"/>
      <c r="C17" s="58"/>
      <c r="D17" s="59"/>
      <c r="E17" s="60"/>
      <c r="F17" s="52"/>
      <c r="G17" s="58"/>
      <c r="H17" s="59"/>
      <c r="I17" s="61"/>
      <c r="J17" s="60"/>
      <c r="K17" s="52"/>
      <c r="L17" s="58"/>
      <c r="M17" s="59"/>
      <c r="N17" s="61"/>
      <c r="O17" s="60"/>
      <c r="P17" s="41"/>
      <c r="Q17" s="29"/>
      <c r="R17" s="62" t="s">
        <v>229</v>
      </c>
      <c r="S17" s="29"/>
      <c r="T17" s="29"/>
      <c r="U17" s="29"/>
      <c r="V17" s="29"/>
      <c r="W17" s="29"/>
      <c r="X17" s="29"/>
      <c r="Y17" s="29"/>
      <c r="Z17" s="29"/>
    </row>
    <row r="18" ht="9.75" customHeight="1">
      <c r="A18" s="29"/>
      <c r="B18" s="36"/>
      <c r="C18" s="40"/>
      <c r="D18" s="40"/>
      <c r="E18" s="40"/>
      <c r="F18" s="40"/>
      <c r="G18" s="45"/>
      <c r="H18" s="45"/>
      <c r="I18" s="45"/>
      <c r="J18" s="40"/>
      <c r="K18" s="40"/>
      <c r="L18" s="40"/>
      <c r="M18" s="40"/>
      <c r="N18" s="40"/>
      <c r="O18" s="40"/>
      <c r="P18" s="41"/>
      <c r="Q18" s="29"/>
      <c r="R18" s="29"/>
      <c r="S18" s="29"/>
      <c r="T18" s="29"/>
      <c r="U18" s="29"/>
      <c r="V18" s="29"/>
      <c r="W18" s="29"/>
      <c r="X18" s="29"/>
      <c r="Y18" s="29"/>
      <c r="Z18" s="29"/>
    </row>
    <row r="19" ht="19.5" customHeight="1">
      <c r="B19" s="36"/>
      <c r="C19" s="63" t="s">
        <v>230</v>
      </c>
      <c r="D19" s="51"/>
      <c r="E19" s="64" t="str">
        <f>VLOOKUP(C10,'Formato descripción HU'!B6:O23,14,0)</f>
        <v>Cargar documento/imagen de factura</v>
      </c>
      <c r="F19" s="65"/>
      <c r="G19" s="65"/>
      <c r="H19" s="65"/>
      <c r="I19" s="65"/>
      <c r="J19" s="65"/>
      <c r="K19" s="65"/>
      <c r="L19" s="65"/>
      <c r="M19" s="65"/>
      <c r="N19" s="65"/>
      <c r="O19" s="66"/>
      <c r="P19" s="41"/>
      <c r="Q19" s="29"/>
    </row>
    <row r="20" ht="19.5" customHeight="1">
      <c r="B20" s="36"/>
      <c r="C20" s="59"/>
      <c r="D20" s="60"/>
      <c r="E20" s="67"/>
      <c r="F20" s="68"/>
      <c r="G20" s="68"/>
      <c r="H20" s="68"/>
      <c r="I20" s="68"/>
      <c r="J20" s="68"/>
      <c r="K20" s="68"/>
      <c r="L20" s="68"/>
      <c r="M20" s="68"/>
      <c r="N20" s="68"/>
      <c r="O20" s="69"/>
      <c r="P20" s="41"/>
      <c r="Q20" s="29"/>
    </row>
    <row r="21" ht="9.75" customHeight="1">
      <c r="B21" s="36"/>
      <c r="C21" s="40"/>
      <c r="D21" s="40"/>
      <c r="E21" s="40"/>
      <c r="F21" s="40"/>
      <c r="G21" s="40"/>
      <c r="H21" s="40"/>
      <c r="I21" s="40"/>
      <c r="J21" s="40"/>
      <c r="K21" s="40"/>
      <c r="L21" s="40"/>
      <c r="M21" s="40"/>
      <c r="N21" s="40"/>
      <c r="O21" s="40"/>
      <c r="P21" s="41"/>
      <c r="Q21" s="29"/>
    </row>
    <row r="22" ht="19.5" customHeight="1">
      <c r="A22" s="29"/>
      <c r="B22" s="36"/>
      <c r="C22" s="70" t="s">
        <v>231</v>
      </c>
      <c r="D22" s="51"/>
      <c r="E22" s="71" t="str">
        <f>VLOOKUP(C10,'Formato descripción HU'!B6:O23,12,0)</f>
        <v>Subir archivos permitidos y no permitidos para verificar manejo.</v>
      </c>
      <c r="F22" s="53"/>
      <c r="G22" s="53"/>
      <c r="H22" s="51"/>
      <c r="I22" s="40"/>
      <c r="J22" s="70" t="s">
        <v>13</v>
      </c>
      <c r="K22" s="51"/>
      <c r="L22" s="50" t="str">
        <f>VLOOKUP(C10,'Formato descripción HU'!B6:O23,13,0)</f>
        <v>El documento enfatiza que la evidencia debe almacenarse con permiso del dueño del Drive. Por eso, el “cómo” menciona Drive y la estructura del archivo. El problema y la solución se alinean con lo que exige la contadora y el jefe de ticketera.</v>
      </c>
      <c r="M22" s="53"/>
      <c r="N22" s="53"/>
      <c r="O22" s="51"/>
      <c r="P22" s="41"/>
      <c r="Q22" s="29"/>
      <c r="R22" s="29"/>
      <c r="S22" s="29"/>
      <c r="T22" s="29"/>
      <c r="U22" s="29"/>
      <c r="V22" s="29"/>
      <c r="W22" s="29"/>
      <c r="X22" s="29"/>
      <c r="Y22" s="29"/>
      <c r="Z22" s="29"/>
    </row>
    <row r="23" ht="19.5" customHeight="1">
      <c r="A23" s="29"/>
      <c r="B23" s="36"/>
      <c r="C23" s="56"/>
      <c r="D23" s="57"/>
      <c r="E23" s="56"/>
      <c r="H23" s="57"/>
      <c r="I23" s="40"/>
      <c r="J23" s="56"/>
      <c r="K23" s="57"/>
      <c r="L23" s="56"/>
      <c r="O23" s="57"/>
      <c r="P23" s="41"/>
      <c r="Q23" s="29"/>
      <c r="R23" s="29"/>
      <c r="S23" s="29"/>
      <c r="T23" s="29"/>
      <c r="U23" s="29"/>
      <c r="V23" s="29"/>
      <c r="W23" s="29"/>
      <c r="X23" s="29"/>
      <c r="Y23" s="29"/>
      <c r="Z23" s="29"/>
    </row>
    <row r="24" ht="19.5" customHeight="1">
      <c r="A24" s="29"/>
      <c r="B24" s="36"/>
      <c r="C24" s="59"/>
      <c r="D24" s="60"/>
      <c r="E24" s="59"/>
      <c r="F24" s="61"/>
      <c r="G24" s="61"/>
      <c r="H24" s="60"/>
      <c r="I24" s="40"/>
      <c r="J24" s="59"/>
      <c r="K24" s="60"/>
      <c r="L24" s="59"/>
      <c r="M24" s="61"/>
      <c r="N24" s="61"/>
      <c r="O24" s="60"/>
      <c r="P24" s="41"/>
      <c r="Q24" s="29"/>
      <c r="R24" s="29"/>
      <c r="S24" s="29"/>
      <c r="T24" s="29"/>
      <c r="U24" s="29"/>
      <c r="V24" s="29"/>
      <c r="W24" s="29"/>
      <c r="X24" s="29"/>
      <c r="Y24" s="29"/>
      <c r="Z24" s="29"/>
    </row>
    <row r="25" ht="9.75" customHeight="1">
      <c r="A25" s="29"/>
      <c r="B25" s="72"/>
      <c r="C25" s="73"/>
      <c r="D25" s="73"/>
      <c r="E25" s="73"/>
      <c r="F25" s="73"/>
      <c r="G25" s="73"/>
      <c r="H25" s="73"/>
      <c r="I25" s="73"/>
      <c r="J25" s="73"/>
      <c r="K25" s="73"/>
      <c r="L25" s="73"/>
      <c r="M25" s="73"/>
      <c r="N25" s="73"/>
      <c r="O25" s="73"/>
      <c r="P25" s="74"/>
      <c r="Q25" s="29"/>
      <c r="R25" s="29"/>
      <c r="S25" s="29"/>
      <c r="T25" s="29"/>
      <c r="U25" s="29"/>
      <c r="V25" s="29"/>
      <c r="W25" s="29"/>
      <c r="X25" s="29"/>
      <c r="Y25" s="29"/>
      <c r="Z25" s="29"/>
    </row>
    <row r="26" ht="19.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9.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9.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9.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9.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9.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9.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9.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9.5" customHeight="1">
      <c r="C34" s="29"/>
      <c r="D34" s="29"/>
      <c r="E34" s="29"/>
      <c r="F34" s="29"/>
      <c r="G34" s="29"/>
      <c r="H34" s="29"/>
      <c r="I34" s="29"/>
      <c r="J34" s="29"/>
      <c r="K34" s="29"/>
      <c r="L34" s="29"/>
      <c r="M34" s="29"/>
      <c r="N34" s="29"/>
      <c r="O34" s="29"/>
      <c r="P34" s="29"/>
    </row>
    <row r="35" ht="19.5" customHeight="1">
      <c r="C35" s="29"/>
      <c r="D35" s="29"/>
      <c r="E35" s="29"/>
      <c r="F35" s="29"/>
      <c r="G35" s="29"/>
      <c r="H35" s="29"/>
      <c r="I35" s="29"/>
      <c r="J35" s="29"/>
      <c r="K35" s="29"/>
      <c r="L35" s="29"/>
      <c r="M35" s="29"/>
      <c r="N35" s="29"/>
      <c r="O35" s="29"/>
      <c r="P35" s="29"/>
    </row>
    <row r="36" ht="19.5" customHeight="1">
      <c r="C36" s="29"/>
      <c r="D36" s="29"/>
      <c r="E36" s="29"/>
      <c r="F36" s="29"/>
      <c r="G36" s="29"/>
      <c r="H36" s="29"/>
      <c r="I36" s="29"/>
      <c r="J36" s="29"/>
      <c r="K36" s="29"/>
      <c r="L36" s="29"/>
      <c r="M36" s="29"/>
      <c r="N36" s="29"/>
      <c r="O36" s="29"/>
      <c r="P36" s="29"/>
    </row>
    <row r="37" ht="19.5" customHeight="1">
      <c r="C37" s="29"/>
      <c r="D37" s="29"/>
      <c r="E37" s="29"/>
      <c r="F37" s="29"/>
      <c r="G37" s="29"/>
      <c r="H37" s="29"/>
      <c r="I37" s="29"/>
      <c r="J37" s="29"/>
      <c r="K37" s="29"/>
      <c r="L37" s="29"/>
      <c r="M37" s="29"/>
      <c r="N37" s="29"/>
      <c r="O37" s="29"/>
      <c r="P37" s="29"/>
    </row>
    <row r="38" ht="19.5" customHeight="1">
      <c r="C38" s="29"/>
      <c r="D38" s="29"/>
      <c r="E38" s="29"/>
      <c r="F38" s="29"/>
      <c r="G38" s="29"/>
      <c r="H38" s="29"/>
      <c r="I38" s="29"/>
      <c r="J38" s="29"/>
      <c r="K38" s="29"/>
      <c r="L38" s="29"/>
      <c r="M38" s="29"/>
      <c r="N38" s="29"/>
      <c r="O38" s="29"/>
      <c r="P38" s="29"/>
    </row>
    <row r="39" ht="19.5" customHeight="1">
      <c r="C39" s="29"/>
      <c r="D39" s="29"/>
      <c r="E39" s="29"/>
      <c r="F39" s="29"/>
      <c r="G39" s="29"/>
      <c r="H39" s="29"/>
      <c r="I39" s="29"/>
      <c r="J39" s="29"/>
      <c r="K39" s="29"/>
      <c r="L39" s="29"/>
      <c r="M39" s="29"/>
      <c r="N39" s="29"/>
      <c r="O39" s="29"/>
      <c r="P39" s="29"/>
    </row>
    <row r="40" ht="19.5" customHeight="1">
      <c r="F40" s="29"/>
      <c r="G40" s="29"/>
      <c r="H40" s="29"/>
      <c r="I40" s="29"/>
      <c r="J40" s="29"/>
      <c r="K40" s="29"/>
      <c r="L40" s="29"/>
      <c r="M40" s="29"/>
      <c r="N40" s="29"/>
      <c r="O40" s="29"/>
      <c r="P40" s="29"/>
    </row>
    <row r="41" ht="19.5" customHeight="1">
      <c r="C41" s="29"/>
      <c r="D41" s="29"/>
      <c r="E41" s="29"/>
      <c r="F41" s="29"/>
      <c r="G41" s="29"/>
      <c r="H41" s="29"/>
      <c r="I41" s="29"/>
      <c r="J41" s="29"/>
      <c r="K41" s="29"/>
      <c r="L41" s="29"/>
      <c r="M41" s="29"/>
      <c r="N41" s="29"/>
      <c r="O41" s="29"/>
      <c r="P41" s="29"/>
    </row>
    <row r="42" ht="19.5" customHeight="1">
      <c r="C42" s="29"/>
      <c r="D42" s="29"/>
      <c r="E42" s="29"/>
      <c r="F42" s="29"/>
      <c r="G42" s="29"/>
      <c r="H42" s="29"/>
      <c r="I42" s="29"/>
      <c r="J42" s="29"/>
      <c r="K42" s="29"/>
      <c r="L42" s="29"/>
      <c r="M42" s="29"/>
      <c r="N42" s="29"/>
      <c r="O42" s="29"/>
      <c r="P42" s="29"/>
    </row>
    <row r="43" ht="19.5" customHeight="1">
      <c r="C43" s="29"/>
      <c r="D43" s="29"/>
      <c r="E43" s="29"/>
      <c r="F43" s="29"/>
      <c r="G43" s="29"/>
      <c r="H43" s="29"/>
      <c r="I43" s="29"/>
      <c r="J43" s="29"/>
      <c r="K43" s="29"/>
      <c r="L43" s="29"/>
      <c r="M43" s="29"/>
      <c r="N43" s="29"/>
      <c r="O43" s="29"/>
      <c r="P43" s="29"/>
    </row>
    <row r="44" ht="19.5" customHeight="1">
      <c r="C44" s="29"/>
      <c r="D44" s="29"/>
      <c r="E44" s="29"/>
      <c r="F44" s="29"/>
      <c r="G44" s="29"/>
      <c r="H44" s="29"/>
      <c r="I44" s="29"/>
      <c r="J44" s="29"/>
      <c r="K44" s="29"/>
      <c r="L44" s="29"/>
      <c r="M44" s="29"/>
      <c r="N44" s="29"/>
      <c r="O44" s="29"/>
      <c r="P44" s="29"/>
    </row>
    <row r="45" ht="19.5" customHeight="1">
      <c r="C45" s="29"/>
      <c r="D45" s="29"/>
      <c r="E45" s="29"/>
      <c r="F45" s="29"/>
      <c r="G45" s="29"/>
      <c r="H45" s="29"/>
      <c r="I45" s="29"/>
      <c r="J45" s="29"/>
      <c r="K45" s="29"/>
      <c r="L45" s="29"/>
      <c r="M45" s="29"/>
      <c r="N45" s="29"/>
      <c r="O45" s="29"/>
      <c r="P45" s="29"/>
    </row>
    <row r="46" ht="19.5" customHeight="1">
      <c r="C46" s="29"/>
      <c r="D46" s="29"/>
      <c r="E46" s="29"/>
      <c r="F46" s="29"/>
      <c r="G46" s="29"/>
      <c r="H46" s="29"/>
      <c r="I46" s="29"/>
      <c r="J46" s="29"/>
      <c r="K46" s="29"/>
      <c r="L46" s="29"/>
      <c r="M46" s="29"/>
      <c r="N46" s="29"/>
      <c r="O46" s="29"/>
      <c r="P46" s="29"/>
    </row>
    <row r="47" ht="19.5" customHeight="1">
      <c r="C47" s="29"/>
      <c r="D47" s="29"/>
      <c r="E47" s="29"/>
      <c r="F47" s="29"/>
      <c r="G47" s="29"/>
      <c r="H47" s="29"/>
      <c r="I47" s="29"/>
      <c r="J47" s="29"/>
      <c r="K47" s="29"/>
      <c r="L47" s="29"/>
      <c r="M47" s="29"/>
      <c r="N47" s="29"/>
      <c r="O47" s="29"/>
      <c r="P47" s="29"/>
    </row>
    <row r="48" ht="19.5" customHeight="1">
      <c r="C48" s="29"/>
      <c r="D48" s="29"/>
      <c r="E48" s="29"/>
      <c r="F48" s="29"/>
      <c r="G48" s="29"/>
      <c r="H48" s="29"/>
      <c r="I48" s="29"/>
      <c r="J48" s="29"/>
      <c r="K48" s="29"/>
      <c r="L48" s="29"/>
      <c r="M48" s="29"/>
      <c r="N48" s="29"/>
      <c r="O48" s="29"/>
      <c r="P48" s="29"/>
    </row>
    <row r="49" ht="19.5" customHeight="1">
      <c r="C49" s="29"/>
      <c r="D49" s="29"/>
      <c r="E49" s="29"/>
      <c r="F49" s="29"/>
      <c r="G49" s="29"/>
      <c r="H49" s="29"/>
      <c r="I49" s="29"/>
      <c r="J49" s="29"/>
      <c r="K49" s="29"/>
      <c r="L49" s="29"/>
      <c r="M49" s="29"/>
      <c r="N49" s="29"/>
      <c r="O49" s="29"/>
      <c r="P49" s="29"/>
    </row>
    <row r="50" ht="19.5" customHeight="1">
      <c r="C50" s="29"/>
      <c r="D50" s="29"/>
      <c r="E50" s="29"/>
      <c r="F50" s="29"/>
      <c r="G50" s="29"/>
      <c r="H50" s="29"/>
      <c r="I50" s="29"/>
      <c r="J50" s="29"/>
      <c r="K50" s="29"/>
      <c r="L50" s="29"/>
      <c r="M50" s="29"/>
      <c r="N50" s="29"/>
      <c r="O50" s="29"/>
      <c r="P50" s="29"/>
    </row>
    <row r="51" ht="19.5" customHeight="1">
      <c r="C51" s="29"/>
      <c r="D51" s="29"/>
      <c r="E51" s="29"/>
      <c r="F51" s="29"/>
      <c r="G51" s="29"/>
      <c r="H51" s="29"/>
      <c r="I51" s="29"/>
      <c r="J51" s="29"/>
      <c r="K51" s="29"/>
      <c r="L51" s="29"/>
      <c r="M51" s="29"/>
      <c r="N51" s="29"/>
      <c r="O51" s="29"/>
      <c r="P51" s="29"/>
    </row>
    <row r="52" ht="19.5" customHeight="1">
      <c r="C52" s="29"/>
      <c r="D52" s="29"/>
      <c r="E52" s="29"/>
      <c r="F52" s="29"/>
      <c r="G52" s="29"/>
      <c r="H52" s="29"/>
      <c r="I52" s="29"/>
      <c r="J52" s="29"/>
      <c r="K52" s="29"/>
      <c r="L52" s="29"/>
      <c r="M52" s="29"/>
      <c r="N52" s="29"/>
      <c r="O52" s="29"/>
      <c r="P52" s="29"/>
    </row>
    <row r="53" ht="19.5" customHeight="1">
      <c r="C53" s="29"/>
      <c r="D53" s="29"/>
      <c r="E53" s="29"/>
      <c r="F53" s="29"/>
      <c r="G53" s="29"/>
      <c r="H53" s="29"/>
      <c r="I53" s="29"/>
      <c r="J53" s="29"/>
      <c r="K53" s="29"/>
      <c r="L53" s="29"/>
      <c r="M53" s="29"/>
      <c r="N53" s="29"/>
      <c r="O53" s="29"/>
      <c r="P53" s="29"/>
    </row>
    <row r="54" ht="19.5" customHeight="1">
      <c r="C54" s="29"/>
      <c r="D54" s="29"/>
      <c r="E54" s="29"/>
      <c r="F54" s="29"/>
      <c r="G54" s="29"/>
      <c r="H54" s="29"/>
      <c r="I54" s="29"/>
      <c r="J54" s="29"/>
      <c r="K54" s="29"/>
      <c r="L54" s="29"/>
      <c r="M54" s="29"/>
      <c r="N54" s="29"/>
      <c r="O54" s="29"/>
    </row>
    <row r="55" ht="15.75" customHeight="1">
      <c r="C55" s="29"/>
      <c r="D55" s="29"/>
      <c r="E55" s="29"/>
      <c r="F55" s="29"/>
      <c r="G55" s="29"/>
      <c r="H55" s="29"/>
      <c r="I55" s="29"/>
      <c r="J55" s="29"/>
      <c r="K55" s="29"/>
      <c r="L55" s="29"/>
      <c r="M55" s="29"/>
      <c r="N55" s="29"/>
      <c r="O55" s="29"/>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