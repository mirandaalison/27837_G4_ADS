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0" sheetId="2" r:id="rId5"/>
    <sheet state="visible" name="burdonchart" sheetId="3" r:id="rId6"/>
    <sheet state="visible" name="burdonchart2" sheetId="4" r:id="rId7"/>
  </sheets>
  <definedNames/>
  <calcPr/>
  <extLst>
    <ext uri="GoogleSheetsCustomDataVersion2">
      <go:sheetsCustomData xmlns:go="http://customooxmlschemas.google.com/" r:id="rId8" roundtripDataChecksum="We5dfNKh886HpkOV/PlkvBY5rTRpIl8zdq2QZ6YvHpU="/>
    </ext>
  </extLst>
</workbook>
</file>

<file path=xl/sharedStrings.xml><?xml version="1.0" encoding="utf-8"?>
<sst xmlns="http://schemas.openxmlformats.org/spreadsheetml/2006/main" count="461" uniqueCount="215">
  <si>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</si>
  <si>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</si>
  <si>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</si>
  <si>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</si>
  <si>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</si>
  <si>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</si>
  <si>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</si>
  <si>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</si>
  <si>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</si>
  <si>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Autenticación por rol</t>
  </si>
  <si>
    <t>Usuario del sistema (Administrador, Contadora, Jefe de Ticketera, Staff)</t>
  </si>
  <si>
    <t>Validar mis credenciales para ingresar según mi rol asignado.</t>
  </si>
  <si>
    <t>Garantizar un acceso seguro, evitar suplantación y entrar únicamente a las funciones permitidas para mi rol.</t>
  </si>
  <si>
    <t>Alta</t>
  </si>
  <si>
    <t>No iniciado</t>
  </si>
  <si>
    <t>REQ002</t>
  </si>
  <si>
    <t>Carga de datos oficiales (Excel)</t>
  </si>
  <si>
    <t>Jefe de Ticketera</t>
  </si>
  <si>
    <t>Subir un archivo Excel con la información oficial del personal.</t>
  </si>
  <si>
    <t>Contar con datos verificados para validaciones internas y evitar errores o fraude en comprobantes.</t>
  </si>
  <si>
    <t>REQ003</t>
  </si>
  <si>
    <t>Registro manual de comprobantes</t>
  </si>
  <si>
    <t>Staff</t>
  </si>
  <si>
    <t>Ingresar los datos del comprobante en un formulario digital.</t>
  </si>
  <si>
    <t>Mantener un registro estructurado y evitar la pérdida o inconsistencias de comprobantes.</t>
  </si>
  <si>
    <t>REQ004</t>
  </si>
  <si>
    <t>Adjuntar archivo de comprobante</t>
  </si>
  <si>
    <t>Subir la imagen o PDF del comprobante real.</t>
  </si>
  <si>
    <t>Respaldar la información ingresada, permitir validación visual y mejorar la trazabilidad del gasto.</t>
  </si>
  <si>
    <t>REQ005</t>
  </si>
  <si>
    <t>Validación cruzada con datos oficiales</t>
  </si>
  <si>
    <t>Contadora / Jefe de Ticketera</t>
  </si>
  <si>
    <t>Comparar los datos del comprobante con la información cargada del Excel.</t>
  </si>
  <si>
    <t>Confirmar que la factura pertenece al trabajador correcto y prevenir registros fraudulentos o erróneos.</t>
  </si>
  <si>
    <t>REQ006</t>
  </si>
  <si>
    <t>Generar reporte de comprobantes por estado</t>
  </si>
  <si>
    <t>generar reportes de comprobantes filtrados por estado (pendiente, aprobado, rechazado)</t>
  </si>
  <si>
    <t>obtener una visión clara del estado de los comprobantes y agilizar la revisión contable</t>
  </si>
  <si>
    <t>REQ007</t>
  </si>
  <si>
    <t>Detección de facturas duplicadas</t>
  </si>
  <si>
    <t>Contadora</t>
  </si>
  <si>
    <t>Que el sistema detecte automáticamente si una factura ya fue registrada previamente por el mismo trabajador</t>
  </si>
  <si>
    <t>evitar registros duplicados y pagos repetidos</t>
  </si>
  <si>
    <t>REQ008</t>
  </si>
  <si>
    <t>Consulta de historial de comprobantes</t>
  </si>
  <si>
    <t>consultar el historial de mis comprobantes enviados</t>
  </si>
  <si>
    <t>confirmar cuáles están aprobados, rechazados o pendientes</t>
  </si>
  <si>
    <t>REQ009</t>
  </si>
  <si>
    <t>Notificaciones de estado de comprobantes</t>
  </si>
  <si>
    <t>recibir notificaciones cuando mis comprobantes cambien de estado</t>
  </si>
  <si>
    <t>estar informado oportunamente sin depender del área contable</t>
  </si>
  <si>
    <t>Necesito</t>
  </si>
  <si>
    <t>así podre...</t>
  </si>
  <si>
    <t>encargado</t>
  </si>
  <si>
    <t>Prioridad</t>
  </si>
  <si>
    <t>Status</t>
  </si>
  <si>
    <t>Validación de credenciales</t>
  </si>
  <si>
    <t>Administrador / Contadora / Staff / Jefe de Ticketera</t>
  </si>
  <si>
    <t>Validar mis credenciales según mi rol asignado.</t>
  </si>
  <si>
    <t>Garantizar accesos seguros y permitir que cada usuario solo vea y use las funciones de su rol.</t>
  </si>
  <si>
    <t>David Moran</t>
  </si>
  <si>
    <t>En Proceso</t>
  </si>
  <si>
    <t>Subir un archivo Excel que contenga la información oficial del staff.</t>
  </si>
  <si>
    <t>Validar datos y evitar errores o fraude al verificar comprobantes.</t>
  </si>
  <si>
    <t>Gabriel Vivanco</t>
  </si>
  <si>
    <t>Ingresar manualmente los datos del comprobante en un formulario digital.</t>
  </si>
  <si>
    <t>Mantener un registro organizado y confiable para revisiones contables posteriores.</t>
  </si>
  <si>
    <t>Alison Miranda</t>
  </si>
  <si>
    <t>Subir una imagen o PDF del comprobante real.</t>
  </si>
  <si>
    <t>Respaldar la información ingresada y permitir validación visual para auditoría.</t>
  </si>
  <si>
    <t>Validación cruzada del comprobante</t>
  </si>
  <si>
    <t>Comparar los datos ingresados con la información oficial cargada desde el Excel.</t>
  </si>
  <si>
    <t>Confirmar que el comprobante pertenece al trabajador correcto y evitar registros fraudulentos o incorrectos.</t>
  </si>
  <si>
    <t>Samir Mideros</t>
  </si>
  <si>
    <t>Así podré...</t>
  </si>
  <si>
    <t>Notas</t>
  </si>
  <si>
    <t>REQ001 – Validación de credenciales</t>
  </si>
  <si>
    <t>Administrador / Contadora / Staff / Jefe</t>
  </si>
  <si>
    <t>Validar mis credenciales según mi rol</t>
  </si>
  <si>
    <t>Acceder solo a lo que corresponde a mi perfil</t>
  </si>
  <si>
    <t>Tareas</t>
  </si>
  <si>
    <t>Asignado</t>
  </si>
  <si>
    <t>Estimado</t>
  </si>
  <si>
    <t>REQ001-1</t>
  </si>
  <si>
    <t>Implementar login básico</t>
  </si>
  <si>
    <t>David Morán</t>
  </si>
  <si>
    <t>REQ001-2</t>
  </si>
  <si>
    <t>Configurar roles y permisos</t>
  </si>
  <si>
    <t>REQ001-3</t>
  </si>
  <si>
    <t>Restringir vistas por rol</t>
  </si>
  <si>
    <t>REQ001-4</t>
  </si>
  <si>
    <t>Crear manejo de sesión segura</t>
  </si>
  <si>
    <t>REQ002 – Carga de datos oficiales</t>
  </si>
  <si>
    <t>Cargar archivo Excel con datos oficiales</t>
  </si>
  <si>
    <t>Evitar errores y procesar datos confiables</t>
  </si>
  <si>
    <t>REQ002-1</t>
  </si>
  <si>
    <t>Subir archivo Excel</t>
  </si>
  <si>
    <t>REQ002-2</t>
  </si>
  <si>
    <t>Leer columnas del archivo</t>
  </si>
  <si>
    <t>REQ002-3</t>
  </si>
  <si>
    <t>Validar estructura del Excel</t>
  </si>
  <si>
    <t>REQ002-4</t>
  </si>
  <si>
    <t>Guardar datos en base</t>
  </si>
  <si>
    <t>REQ003 – Registro manual de comprobantes</t>
  </si>
  <si>
    <t>Registrar datos del comprobante</t>
  </si>
  <si>
    <t>Mantener control y trazabilidad</t>
  </si>
  <si>
    <t>REQ003-1</t>
  </si>
  <si>
    <t>Crear formulario de registro</t>
  </si>
  <si>
    <t>REQ003-2</t>
  </si>
  <si>
    <t>Validar datos ingresados</t>
  </si>
  <si>
    <t>REQ003-3</t>
  </si>
  <si>
    <t>Registrar comprobante en base</t>
  </si>
  <si>
    <t>REQ003-4</t>
  </si>
  <si>
    <t>Mostrar estado del comprobante</t>
  </si>
  <si>
    <t>REQ004 – Adjuntar archivo de comprobante</t>
  </si>
  <si>
    <t>Subir archivo del comprobante</t>
  </si>
  <si>
    <t>Tener evidencia visual para auditoría</t>
  </si>
  <si>
    <t>REQ004-1</t>
  </si>
  <si>
    <t>Implementar carga de archivos</t>
  </si>
  <si>
    <t>REQ004-2</t>
  </si>
  <si>
    <t>Validar tipo y tamaño de archivo</t>
  </si>
  <si>
    <t>REQ004-3</t>
  </si>
  <si>
    <t>Guardar archivo en repositorio</t>
  </si>
  <si>
    <t>REQ004-4</t>
  </si>
  <si>
    <t>Vincular archivo al comprobante</t>
  </si>
  <si>
    <t>REQ005 – Validación cruzada del comprobante</t>
  </si>
  <si>
    <t>Contadora / Jefe</t>
  </si>
  <si>
    <t>Comparar datos ingresados con datos oficiales</t>
  </si>
  <si>
    <t>Detectar inconsistencias o fraude</t>
  </si>
  <si>
    <t>REQ005-1</t>
  </si>
  <si>
    <t>Obtener datos oficiales y del comprobante</t>
  </si>
  <si>
    <t>REQ005-2</t>
  </si>
  <si>
    <t>Comparar datos clave</t>
  </si>
  <si>
    <t>REQ005-3</t>
  </si>
  <si>
    <t>Detectar inconsistencias automáticamente</t>
  </si>
  <si>
    <t>REQ005-4</t>
  </si>
  <si>
    <t>Crear pantalla de aprobación o rechazo</t>
  </si>
  <si>
    <t>SPRINT 2</t>
  </si>
  <si>
    <t>RF06-1</t>
  </si>
  <si>
    <t>Crear filtros por estado del comprobante</t>
  </si>
  <si>
    <t>RF06-2</t>
  </si>
  <si>
    <t>Generar listado de comprobantes filtrados</t>
  </si>
  <si>
    <t>RF06-3</t>
  </si>
  <si>
    <t>Calcular totales por estado</t>
  </si>
  <si>
    <t>RF06-4</t>
  </si>
  <si>
    <t>Mostrar mensaje cuando no existan resultados</t>
  </si>
  <si>
    <t>RF07-1</t>
  </si>
  <si>
    <t>Validar existencia del número de factura</t>
  </si>
  <si>
    <t>RF07-2</t>
  </si>
  <si>
    <t>Comparar factura por trabajador</t>
  </si>
  <si>
    <t>RF07-3</t>
  </si>
  <si>
    <t>Bloquear registro de factura duplicada</t>
  </si>
  <si>
    <t>RF07-4</t>
  </si>
  <si>
    <t>Mostrar mensaje de advertencia al usuario</t>
  </si>
  <si>
    <t>RF08-1</t>
  </si>
  <si>
    <t>Obtener comprobantes por cédula del usuario</t>
  </si>
  <si>
    <t>RF08-2</t>
  </si>
  <si>
    <t>Mostrar listado con estados del comprobante</t>
  </si>
  <si>
    <t>RF08-3</t>
  </si>
  <si>
    <t>Implementar vista de historial</t>
  </si>
  <si>
    <t>RF08-4</t>
  </si>
  <si>
    <t>Mostrar mensaje si no existen registros</t>
  </si>
  <si>
    <t>RF09-1</t>
  </si>
  <si>
    <t>Detectar cambio de estado del comprobante</t>
  </si>
  <si>
    <t>RF09-2</t>
  </si>
  <si>
    <t>Generar mensaje de notificación</t>
  </si>
  <si>
    <t>RF09-3</t>
  </si>
  <si>
    <t>Enviar notificación al usuario</t>
  </si>
  <si>
    <t>RF09-4</t>
  </si>
  <si>
    <t>Registrar notificación en el sistema</t>
  </si>
  <si>
    <t>Dia 5</t>
  </si>
  <si>
    <t>Dia 4</t>
  </si>
  <si>
    <t>Dia 3</t>
  </si>
  <si>
    <t>Dia 2</t>
  </si>
  <si>
    <t>Dia 1</t>
  </si>
  <si>
    <t>Total de Horas</t>
  </si>
  <si>
    <t>REQ001-1 (Frontend Login + UI)</t>
  </si>
  <si>
    <t>REQ001-2 (Backend autenticación + roles)</t>
  </si>
  <si>
    <t>REQ001-3 (Restricción de vistas por rol)</t>
  </si>
  <si>
    <t>REQ001-4 (Sesión segura + tokens)</t>
  </si>
  <si>
    <t>REQ002-1 (Subir archivo Excel)</t>
  </si>
  <si>
    <t>REQ002-2 (Leer columnas Excel)</t>
  </si>
  <si>
    <t>REQ002-3 (Validar estructura Excel)</t>
  </si>
  <si>
    <t>REQ002-4 (Guardar datos en BD)</t>
  </si>
  <si>
    <t>REQ003-1 (Formulario de comprobante)</t>
  </si>
  <si>
    <t>REQ003-2 (Validación de campos)</t>
  </si>
  <si>
    <t>REQ003-3 (Registrar comprobante BD)</t>
  </si>
  <si>
    <t>REQ003-4 (Mostrar estado del comprobante)</t>
  </si>
  <si>
    <t>REQ004-1 (Subir archivo comprobante)</t>
  </si>
  <si>
    <t>REQ004-2 (Validación de archivo)</t>
  </si>
  <si>
    <t>REQ004-3 (Guardar archivo en repositorio)</t>
  </si>
  <si>
    <t>REQ004-4 (Vincular archivo al comprobante)</t>
  </si>
  <si>
    <t>REQ005-1 (Obtener datos oficiales + comprobante)</t>
  </si>
  <si>
    <t>REQ005-2 (Comparación de datos clave)</t>
  </si>
  <si>
    <t>REQ005-3 (Detección de inconsistencias)</t>
  </si>
  <si>
    <t>REQ005-4 (Pantalla de aprobación/rechazo)</t>
  </si>
  <si>
    <t>Horas Estimadas</t>
  </si>
  <si>
    <t>Horas Estimadas
Restantes</t>
  </si>
  <si>
    <t>Durante el proceso de desarrollo del producto software,CONCLUSION DEL ESFUERZO CALCULADO</t>
  </si>
  <si>
    <t>RF06-1 (Filtros por estado del comprobante)</t>
  </si>
  <si>
    <t>RF06-2 (Listado de comprobantes filtrados)</t>
  </si>
  <si>
    <t>RF06-3 (Cálculo de totales por estado)</t>
  </si>
  <si>
    <t>RF06-4 (Mensaje sin resultados)</t>
  </si>
  <si>
    <t>RF07-1 (Validar número de factura existente)</t>
  </si>
  <si>
    <t>RF07-2 (Comparar factura por trabajador)</t>
  </si>
  <si>
    <t>RF07-3 (Bloquear registro duplicado)</t>
  </si>
  <si>
    <t>RF07-4 (Mensaje de advertencia)</t>
  </si>
  <si>
    <t>RF08-1 (Obtener comprobantes por cédula)</t>
  </si>
  <si>
    <t>RF08-2 (Listado con estados del comprobante)</t>
  </si>
  <si>
    <t>RF08-3 (Vista de historial de comprobantes)</t>
  </si>
  <si>
    <t>RF08-4 (Mensaje sin comprobantes registrados)</t>
  </si>
  <si>
    <t>RF09-1 (Detección de cambio de estado)</t>
  </si>
  <si>
    <t>RF09-2 (Generación de mensaje de notificación)</t>
  </si>
  <si>
    <t>RF09-3 (Envío de notificación al usuario)</t>
  </si>
  <si>
    <t>RF09-4 (Registro de notificación en sistema)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</si>
</sst>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rgb="FF2F5496"/>
      <name val="Arial"/>
    </font>
    <font>
      <sz val="10.0"/>
      <color rgb="FF0000FF"/>
      <name val="Arial"/>
    </font>
    <font>
      <sz val="10.0"/>
      <color rgb="FF0000FF"/>
      <name val="Roboto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color rgb="FF0000FF"/>
      <name val="Arial"/>
    </font>
    <font>
      <b/>
      <sz val="18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0" fillId="0" fontId="3" numFmtId="0" xfId="0" applyFont="1"/>
    <xf borderId="1" fillId="2" fontId="5" numFmtId="0" xfId="0" applyAlignment="1" applyBorder="1" applyFill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0" fillId="0" fontId="6" numFmtId="0" xfId="0" applyAlignment="1" applyFont="1">
      <alignment horizontal="center"/>
    </xf>
    <xf borderId="1" fillId="0" fontId="4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shrinkToFit="0" wrapText="1"/>
    </xf>
    <xf borderId="0" fillId="0" fontId="8" numFmtId="0" xfId="0" applyFont="1"/>
    <xf borderId="0" fillId="0" fontId="7" numFmtId="0" xfId="0" applyFont="1"/>
    <xf borderId="0" fillId="0" fontId="8" numFmtId="0" xfId="0" applyAlignment="1" applyFont="1">
      <alignment horizontal="right"/>
    </xf>
    <xf borderId="0" fillId="0" fontId="9" numFmtId="0" xfId="0" applyAlignment="1" applyFont="1">
      <alignment shrinkToFit="0" wrapText="1"/>
    </xf>
    <xf borderId="0" fillId="0" fontId="9" numFmtId="0" xfId="0" applyFont="1"/>
    <xf borderId="0" fillId="0" fontId="10" numFmtId="0" xfId="0" applyFont="1"/>
    <xf borderId="0" fillId="0" fontId="10" numFmtId="0" xfId="0" applyAlignment="1" applyFont="1">
      <alignment shrinkToFit="0" wrapText="1"/>
    </xf>
    <xf borderId="0" fillId="0" fontId="11" numFmtId="0" xfId="0" applyAlignment="1" applyFont="1">
      <alignment horizontal="center" readingOrder="0"/>
    </xf>
    <xf borderId="1" fillId="0" fontId="12" numFmtId="0" xfId="0" applyBorder="1" applyFont="1"/>
    <xf borderId="0" fillId="0" fontId="9" numFmtId="0" xfId="0" applyAlignment="1" applyFont="1">
      <alignment readingOrder="0" shrinkToFit="0" wrapText="1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2" numFmtId="0" xfId="0" applyFont="1"/>
    <xf borderId="0" fillId="0" fontId="10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2" fillId="3" fontId="8" numFmtId="0" xfId="0" applyAlignment="1" applyBorder="1" applyFill="1" applyFont="1">
      <alignment horizontal="right"/>
    </xf>
    <xf borderId="0" fillId="0" fontId="13" numFmtId="0" xfId="0" applyFont="1"/>
    <xf borderId="2" fillId="3" fontId="8" numFmtId="0" xfId="0" applyAlignment="1" applyBorder="1" applyFont="1">
      <alignment horizontal="right"/>
    </xf>
    <xf borderId="2" fillId="4" fontId="8" numFmtId="0" xfId="0" applyBorder="1" applyFill="1" applyFont="1"/>
    <xf borderId="0" fillId="0" fontId="3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wrapText="1"/>
    </xf>
    <xf borderId="0" fillId="0" fontId="13" numFmtId="0" xfId="0" applyAlignment="1" applyFont="1">
      <alignment readingOrder="0"/>
    </xf>
    <xf borderId="3" fillId="3" fontId="8" numFmtId="0" xfId="0" applyAlignment="1" applyBorder="1" applyFont="1">
      <alignment horizontal="right"/>
    </xf>
    <xf borderId="0" fillId="2" fontId="8" numFmtId="0" xfId="0" applyAlignment="1" applyFon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burdonchart-style">
      <tableStyleElement dxfId="1" type="headerRow"/>
      <tableStyleElement dxfId="2" type="firstRowStripe"/>
      <tableStyleElement dxfId="3" type="secondRowStripe"/>
    </tableStyle>
    <tableStyle count="3" pivot="0" name="burdonchart-style 2">
      <tableStyleElement dxfId="1" type="headerRow"/>
      <tableStyleElement dxfId="2" type="firstRowStripe"/>
      <tableStyleElement dxfId="3" type="secondRowStripe"/>
    </tableStyle>
    <tableStyle count="3" pivot="0" name="burdonchart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3054470691163605"/>
          <c:y val="0.05750224618149147"/>
          <c:w val="0.869455293088364"/>
          <c:h val="0.789938804819209"/>
        </c:manualLayout>
      </c:layout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burdonchart!$B$28:$H$28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burdonchart!$B$29:$H$29</c:f>
              <c:numCache/>
            </c:numRef>
          </c:val>
          <c:smooth val="0"/>
        </c:ser>
        <c:axId val="1973747965"/>
        <c:axId val="2086340249"/>
      </c:lineChart>
      <c:catAx>
        <c:axId val="1973747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6340249"/>
      </c:catAx>
      <c:valAx>
        <c:axId val="2086340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7374796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3054470691163605"/>
          <c:y val="0.05750224618149147"/>
          <c:w val="0.869455293088364"/>
          <c:h val="0.789938804819209"/>
        </c:manualLayout>
      </c:layout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burdonchart2!$B$22:$H$22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burdonchart2!$B$23:$H$23</c:f>
              <c:numCache/>
            </c:numRef>
          </c:val>
          <c:smooth val="0"/>
        </c:ser>
        <c:axId val="2066754147"/>
        <c:axId val="1068943176"/>
      </c:lineChart>
      <c:catAx>
        <c:axId val="20667541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8943176"/>
      </c:catAx>
      <c:valAx>
        <c:axId val="1068943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675414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3054470691163605"/>
          <c:y val="0.05750224618149147"/>
          <c:w val="0.869455293088364"/>
          <c:h val="0.789938804819209"/>
        </c:manualLayout>
      </c:layout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burdonchart2!$B$22:$H$22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burdonchart2!$B$23:$H$23</c:f>
              <c:numCache/>
            </c:numRef>
          </c:val>
          <c:smooth val="0"/>
        </c:ser>
        <c:axId val="619901563"/>
        <c:axId val="609199025"/>
      </c:lineChart>
      <c:catAx>
        <c:axId val="619901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9199025"/>
      </c:catAx>
      <c:valAx>
        <c:axId val="6091990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1990156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32</xdr:row>
      <xdr:rowOff>85725</xdr:rowOff>
    </xdr:from>
    <xdr:ext cx="5715000" cy="3533775"/>
    <xdr:graphicFrame>
      <xdr:nvGraphicFramePr>
        <xdr:cNvPr id="36287300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561975</xdr:colOff>
      <xdr:row>77</xdr:row>
      <xdr:rowOff>57150</xdr:rowOff>
    </xdr:from>
    <xdr:ext cx="5715000" cy="3533775"/>
    <xdr:graphicFrame>
      <xdr:nvGraphicFramePr>
        <xdr:cNvPr id="127409203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466725</xdr:colOff>
      <xdr:row>32</xdr:row>
      <xdr:rowOff>85725</xdr:rowOff>
    </xdr:from>
    <xdr:ext cx="5715000" cy="3533775"/>
    <xdr:graphicFrame>
      <xdr:nvGraphicFramePr>
        <xdr:cNvPr id="1932394822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I2:I3" displayName="Table_1" name="Table_1" id="1">
  <tableColumns count="1">
    <tableColumn name="Column1" id="1"/>
  </tableColumns>
  <tableStyleInfo name="burdon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I56:I57" displayName="Table_2" name="Table_2" id="2">
  <tableColumns count="1">
    <tableColumn name="Column1" id="1"/>
  </tableColumns>
  <tableStyleInfo name="burdonchar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I2:I3" displayName="Table_3" name="Table_3" id="3">
  <tableColumns count="1">
    <tableColumn name="Column1" id="1"/>
  </tableColumns>
  <tableStyleInfo name="burdonchart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41.5"/>
    <col customWidth="1" min="5" max="5" width="54.5"/>
    <col customWidth="1" min="6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/>
      <c r="G2" s="4" t="s">
        <v>13</v>
      </c>
      <c r="H2" s="4" t="s">
        <v>14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15</v>
      </c>
      <c r="B3" s="4" t="s">
        <v>16</v>
      </c>
      <c r="C3" s="4" t="s">
        <v>17</v>
      </c>
      <c r="D3" s="6" t="s">
        <v>18</v>
      </c>
      <c r="E3" s="4" t="s">
        <v>19</v>
      </c>
      <c r="F3" s="4"/>
      <c r="G3" s="4" t="s">
        <v>13</v>
      </c>
      <c r="H3" s="4" t="s">
        <v>14</v>
      </c>
    </row>
    <row r="4">
      <c r="A4" s="3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/>
      <c r="G4" s="4" t="s">
        <v>13</v>
      </c>
      <c r="H4" s="4" t="s">
        <v>14</v>
      </c>
    </row>
    <row r="5">
      <c r="A5" s="3" t="s">
        <v>25</v>
      </c>
      <c r="B5" s="4" t="s">
        <v>26</v>
      </c>
      <c r="C5" s="4" t="s">
        <v>22</v>
      </c>
      <c r="D5" s="6" t="s">
        <v>27</v>
      </c>
      <c r="E5" s="4" t="s">
        <v>28</v>
      </c>
      <c r="F5" s="4"/>
      <c r="G5" s="4" t="s">
        <v>13</v>
      </c>
      <c r="H5" s="4" t="s">
        <v>14</v>
      </c>
    </row>
    <row r="6">
      <c r="A6" s="3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/>
      <c r="G6" s="4" t="s">
        <v>13</v>
      </c>
      <c r="H6" s="4" t="s">
        <v>14</v>
      </c>
    </row>
    <row r="7" ht="15.75" customHeight="1">
      <c r="A7" s="3" t="s">
        <v>34</v>
      </c>
      <c r="B7" s="7" t="s">
        <v>35</v>
      </c>
      <c r="C7" s="4" t="s">
        <v>31</v>
      </c>
      <c r="D7" s="7" t="s">
        <v>36</v>
      </c>
      <c r="E7" s="7" t="s">
        <v>37</v>
      </c>
      <c r="F7" s="4"/>
      <c r="G7" s="4" t="s">
        <v>13</v>
      </c>
      <c r="H7" s="4" t="s">
        <v>14</v>
      </c>
    </row>
    <row r="8" ht="15.75" customHeight="1">
      <c r="A8" s="3" t="s">
        <v>38</v>
      </c>
      <c r="B8" s="7" t="s">
        <v>39</v>
      </c>
      <c r="C8" s="7" t="s">
        <v>40</v>
      </c>
      <c r="D8" s="7" t="s">
        <v>41</v>
      </c>
      <c r="E8" s="7" t="s">
        <v>42</v>
      </c>
      <c r="F8" s="4"/>
      <c r="G8" s="4" t="s">
        <v>13</v>
      </c>
      <c r="H8" s="4" t="s">
        <v>14</v>
      </c>
    </row>
    <row r="9" ht="15.75" customHeight="1">
      <c r="A9" s="3" t="s">
        <v>43</v>
      </c>
      <c r="B9" s="7" t="s">
        <v>44</v>
      </c>
      <c r="C9" s="7" t="s">
        <v>22</v>
      </c>
      <c r="D9" s="7" t="s">
        <v>45</v>
      </c>
      <c r="E9" s="7" t="s">
        <v>46</v>
      </c>
      <c r="F9" s="4"/>
      <c r="G9" s="4" t="s">
        <v>13</v>
      </c>
      <c r="H9" s="4" t="s">
        <v>14</v>
      </c>
    </row>
    <row r="10" ht="15.75" customHeight="1">
      <c r="A10" s="3" t="s">
        <v>47</v>
      </c>
      <c r="B10" s="7" t="s">
        <v>48</v>
      </c>
      <c r="C10" s="7" t="s">
        <v>22</v>
      </c>
      <c r="D10" s="7" t="s">
        <v>49</v>
      </c>
      <c r="E10" s="7" t="s">
        <v>50</v>
      </c>
      <c r="F10" s="4"/>
      <c r="G10" s="4" t="s">
        <v>13</v>
      </c>
      <c r="H10" s="4" t="s">
        <v>14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4" width="18.88"/>
    <col customWidth="1" min="5" max="5" width="25.5"/>
    <col customWidth="1" min="6" max="6" width="30.5"/>
    <col customWidth="1" min="7" max="27" width="12.5"/>
  </cols>
  <sheetData>
    <row r="1" ht="15.75" customHeight="1"/>
    <row r="2" ht="15.75" customHeight="1"/>
    <row r="3" ht="15.75" customHeight="1">
      <c r="B3" s="8" t="s">
        <v>0</v>
      </c>
      <c r="C3" s="8" t="s">
        <v>1</v>
      </c>
      <c r="D3" s="8" t="s">
        <v>2</v>
      </c>
      <c r="E3" s="8" t="s">
        <v>51</v>
      </c>
      <c r="F3" s="8" t="s">
        <v>52</v>
      </c>
      <c r="G3" s="8" t="s">
        <v>53</v>
      </c>
      <c r="H3" s="8" t="s">
        <v>5</v>
      </c>
      <c r="I3" s="8" t="s">
        <v>54</v>
      </c>
      <c r="J3" s="8" t="s">
        <v>55</v>
      </c>
    </row>
    <row r="4" ht="40.5" customHeight="1">
      <c r="A4" s="5"/>
      <c r="B4" s="3" t="s">
        <v>8</v>
      </c>
      <c r="C4" s="4" t="s">
        <v>56</v>
      </c>
      <c r="D4" s="4" t="s">
        <v>57</v>
      </c>
      <c r="E4" s="4" t="s">
        <v>58</v>
      </c>
      <c r="F4" s="4" t="s">
        <v>59</v>
      </c>
      <c r="G4" s="4" t="s">
        <v>60</v>
      </c>
      <c r="H4" s="4"/>
      <c r="I4" s="9" t="s">
        <v>13</v>
      </c>
      <c r="J4" s="9" t="s">
        <v>61</v>
      </c>
      <c r="K4" s="5">
        <v>4.0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5"/>
      <c r="B5" s="3" t="s">
        <v>15</v>
      </c>
      <c r="C5" s="4" t="s">
        <v>16</v>
      </c>
      <c r="D5" s="4" t="s">
        <v>17</v>
      </c>
      <c r="E5" s="6" t="s">
        <v>62</v>
      </c>
      <c r="F5" s="4" t="s">
        <v>63</v>
      </c>
      <c r="G5" s="4" t="s">
        <v>64</v>
      </c>
      <c r="H5" s="4"/>
      <c r="I5" s="9" t="s">
        <v>13</v>
      </c>
      <c r="J5" s="9" t="s">
        <v>61</v>
      </c>
      <c r="K5" s="5">
        <v>5.0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40.5" customHeight="1">
      <c r="A6" s="5"/>
      <c r="B6" s="10" t="s">
        <v>20</v>
      </c>
      <c r="C6" s="4" t="s">
        <v>21</v>
      </c>
      <c r="D6" s="4" t="s">
        <v>22</v>
      </c>
      <c r="E6" s="4" t="s">
        <v>65</v>
      </c>
      <c r="F6" s="4" t="s">
        <v>66</v>
      </c>
      <c r="G6" s="4" t="s">
        <v>67</v>
      </c>
      <c r="H6" s="4"/>
      <c r="I6" s="9" t="s">
        <v>13</v>
      </c>
      <c r="J6" s="9" t="s">
        <v>61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27.0" customHeight="1">
      <c r="A7" s="5"/>
      <c r="B7" s="10" t="s">
        <v>25</v>
      </c>
      <c r="C7" s="4" t="s">
        <v>26</v>
      </c>
      <c r="D7" s="4" t="s">
        <v>22</v>
      </c>
      <c r="E7" s="4" t="s">
        <v>68</v>
      </c>
      <c r="F7" s="4" t="s">
        <v>69</v>
      </c>
      <c r="G7" s="4" t="s">
        <v>67</v>
      </c>
      <c r="H7" s="4"/>
      <c r="I7" s="9" t="s">
        <v>13</v>
      </c>
      <c r="J7" s="9" t="s">
        <v>61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48.0" customHeight="1">
      <c r="A8" s="5"/>
      <c r="B8" s="10" t="s">
        <v>29</v>
      </c>
      <c r="C8" s="4" t="s">
        <v>70</v>
      </c>
      <c r="D8" s="4" t="s">
        <v>31</v>
      </c>
      <c r="E8" s="4" t="s">
        <v>71</v>
      </c>
      <c r="F8" s="4" t="s">
        <v>72</v>
      </c>
      <c r="G8" s="4" t="s">
        <v>73</v>
      </c>
      <c r="H8" s="4"/>
      <c r="I8" s="9" t="s">
        <v>13</v>
      </c>
      <c r="J8" s="9" t="s">
        <v>61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B9" s="8"/>
      <c r="C9" s="8"/>
      <c r="D9" s="8"/>
      <c r="E9" s="8"/>
      <c r="F9" s="8"/>
      <c r="G9" s="8"/>
      <c r="H9" s="8"/>
      <c r="I9" s="8"/>
      <c r="J9" s="8">
        <v>5.0</v>
      </c>
    </row>
    <row r="10" ht="15.75" customHeight="1"/>
    <row r="11" ht="15.75" customHeight="1">
      <c r="B11" s="11"/>
      <c r="C11" s="11"/>
      <c r="D11" s="12"/>
      <c r="E11" s="12"/>
      <c r="F11" s="12"/>
      <c r="G11" s="11"/>
      <c r="H11" s="11"/>
      <c r="I11" s="12"/>
      <c r="J11" s="13"/>
    </row>
    <row r="12" ht="15.75" customHeight="1">
      <c r="B12" s="8" t="s">
        <v>0</v>
      </c>
      <c r="C12" s="8" t="s">
        <v>1</v>
      </c>
      <c r="D12" s="8" t="s">
        <v>2</v>
      </c>
      <c r="E12" s="8" t="s">
        <v>51</v>
      </c>
      <c r="F12" s="8" t="s">
        <v>74</v>
      </c>
      <c r="G12" s="8" t="s">
        <v>75</v>
      </c>
      <c r="H12" s="8" t="s">
        <v>54</v>
      </c>
      <c r="I12" s="8" t="s">
        <v>55</v>
      </c>
      <c r="J12" s="8" t="s">
        <v>55</v>
      </c>
    </row>
    <row r="13">
      <c r="B13" s="14" t="s">
        <v>8</v>
      </c>
      <c r="C13" s="14" t="s">
        <v>76</v>
      </c>
      <c r="D13" s="14" t="s">
        <v>77</v>
      </c>
      <c r="E13" s="14" t="s">
        <v>78</v>
      </c>
      <c r="F13" s="14" t="s">
        <v>79</v>
      </c>
      <c r="G13" s="14"/>
      <c r="H13" s="15" t="s">
        <v>13</v>
      </c>
      <c r="I13" s="15" t="s">
        <v>61</v>
      </c>
      <c r="J13" s="15" t="s">
        <v>61</v>
      </c>
    </row>
    <row r="14" ht="15.75" customHeight="1">
      <c r="C14" s="16" t="s">
        <v>80</v>
      </c>
      <c r="G14" s="16" t="s">
        <v>81</v>
      </c>
      <c r="I14" s="16" t="s">
        <v>82</v>
      </c>
    </row>
    <row r="15" ht="15.75" customHeight="1">
      <c r="B15" s="16" t="s">
        <v>83</v>
      </c>
      <c r="C15" s="16" t="s">
        <v>84</v>
      </c>
      <c r="G15" s="16" t="s">
        <v>85</v>
      </c>
      <c r="I15" s="16">
        <v>3.0</v>
      </c>
    </row>
    <row r="16" ht="15.75" customHeight="1">
      <c r="B16" s="16" t="s">
        <v>86</v>
      </c>
      <c r="C16" s="16" t="s">
        <v>87</v>
      </c>
      <c r="G16" s="16" t="s">
        <v>85</v>
      </c>
      <c r="I16" s="16">
        <v>3.0</v>
      </c>
    </row>
    <row r="17" ht="15.75" customHeight="1">
      <c r="B17" s="16" t="s">
        <v>88</v>
      </c>
      <c r="C17" s="16" t="s">
        <v>89</v>
      </c>
      <c r="G17" s="16" t="s">
        <v>85</v>
      </c>
      <c r="I17" s="16">
        <v>2.0</v>
      </c>
    </row>
    <row r="18" ht="15.75" customHeight="1">
      <c r="B18" s="16" t="s">
        <v>90</v>
      </c>
      <c r="C18" s="16" t="s">
        <v>91</v>
      </c>
      <c r="G18" s="16" t="s">
        <v>85</v>
      </c>
      <c r="I18" s="16">
        <v>2.0</v>
      </c>
    </row>
    <row r="19">
      <c r="B19" s="17"/>
      <c r="C19" s="17"/>
      <c r="D19" s="17"/>
      <c r="E19" s="17"/>
      <c r="F19" s="17"/>
      <c r="G19" s="17"/>
    </row>
    <row r="20" ht="15.75" customHeight="1">
      <c r="B20" s="15" t="s">
        <v>15</v>
      </c>
      <c r="C20" s="15" t="s">
        <v>92</v>
      </c>
      <c r="D20" s="15" t="s">
        <v>17</v>
      </c>
      <c r="E20" s="15" t="s">
        <v>93</v>
      </c>
      <c r="F20" s="15" t="s">
        <v>94</v>
      </c>
      <c r="G20" s="15"/>
      <c r="H20" s="15" t="s">
        <v>13</v>
      </c>
      <c r="I20" s="15" t="s">
        <v>61</v>
      </c>
    </row>
    <row r="21" ht="15.75" customHeight="1">
      <c r="C21" s="16" t="s">
        <v>80</v>
      </c>
      <c r="G21" s="16" t="s">
        <v>81</v>
      </c>
      <c r="I21" s="16" t="s">
        <v>82</v>
      </c>
    </row>
    <row r="22" ht="15.75" customHeight="1">
      <c r="B22" s="16" t="s">
        <v>95</v>
      </c>
      <c r="C22" s="16" t="s">
        <v>96</v>
      </c>
      <c r="G22" s="16" t="s">
        <v>64</v>
      </c>
      <c r="I22" s="16">
        <v>3.0</v>
      </c>
    </row>
    <row r="23" ht="15.75" customHeight="1">
      <c r="B23" s="16" t="s">
        <v>97</v>
      </c>
      <c r="C23" s="16" t="s">
        <v>98</v>
      </c>
      <c r="G23" s="16" t="s">
        <v>64</v>
      </c>
      <c r="I23" s="16">
        <v>3.0</v>
      </c>
    </row>
    <row r="24">
      <c r="B24" s="17" t="s">
        <v>99</v>
      </c>
      <c r="C24" s="17" t="s">
        <v>100</v>
      </c>
      <c r="D24" s="17"/>
      <c r="E24" s="17"/>
      <c r="F24" s="17"/>
      <c r="G24" s="17" t="s">
        <v>64</v>
      </c>
      <c r="H24" s="17"/>
      <c r="I24" s="17">
        <v>2.0</v>
      </c>
    </row>
    <row r="25" ht="15.75" customHeight="1">
      <c r="B25" s="16" t="s">
        <v>101</v>
      </c>
      <c r="C25" s="16" t="s">
        <v>102</v>
      </c>
      <c r="G25" s="16" t="s">
        <v>64</v>
      </c>
      <c r="I25" s="16">
        <v>3.0</v>
      </c>
    </row>
    <row r="26" ht="15.75" customHeight="1"/>
    <row r="27" ht="15.75" customHeight="1">
      <c r="B27" s="15" t="s">
        <v>20</v>
      </c>
      <c r="C27" s="15" t="s">
        <v>103</v>
      </c>
      <c r="D27" s="15" t="s">
        <v>22</v>
      </c>
      <c r="E27" s="15" t="s">
        <v>104</v>
      </c>
      <c r="F27" s="15" t="s">
        <v>105</v>
      </c>
      <c r="G27" s="15"/>
      <c r="H27" s="15" t="s">
        <v>13</v>
      </c>
      <c r="I27" s="15" t="s">
        <v>61</v>
      </c>
    </row>
    <row r="28">
      <c r="B28" s="17"/>
      <c r="C28" s="17" t="s">
        <v>80</v>
      </c>
      <c r="D28" s="17"/>
      <c r="E28" s="17"/>
      <c r="F28" s="17"/>
      <c r="G28" s="17" t="s">
        <v>81</v>
      </c>
      <c r="I28" s="16" t="s">
        <v>82</v>
      </c>
    </row>
    <row r="29">
      <c r="B29" s="16" t="s">
        <v>106</v>
      </c>
      <c r="C29" s="16" t="s">
        <v>107</v>
      </c>
      <c r="G29" s="16" t="s">
        <v>67</v>
      </c>
      <c r="I29" s="16">
        <v>3.0</v>
      </c>
    </row>
    <row r="30" ht="15.75" customHeight="1">
      <c r="B30" s="16" t="s">
        <v>108</v>
      </c>
      <c r="C30" s="16" t="s">
        <v>109</v>
      </c>
      <c r="G30" s="16" t="s">
        <v>67</v>
      </c>
      <c r="I30" s="16">
        <v>2.0</v>
      </c>
    </row>
    <row r="31" ht="15.75" customHeight="1">
      <c r="B31" s="16" t="s">
        <v>110</v>
      </c>
      <c r="C31" s="16" t="s">
        <v>111</v>
      </c>
      <c r="G31" s="16" t="s">
        <v>67</v>
      </c>
      <c r="I31" s="16">
        <v>3.0</v>
      </c>
    </row>
    <row r="32" ht="15.75" customHeight="1">
      <c r="B32" s="16" t="s">
        <v>112</v>
      </c>
      <c r="C32" s="16" t="s">
        <v>113</v>
      </c>
      <c r="G32" s="16" t="s">
        <v>67</v>
      </c>
      <c r="I32" s="16">
        <v>1.0</v>
      </c>
    </row>
    <row r="33" ht="15.75" customHeight="1">
      <c r="B33" s="17"/>
      <c r="C33" s="17"/>
      <c r="D33" s="17"/>
      <c r="E33" s="17"/>
      <c r="F33" s="17"/>
      <c r="G33" s="17"/>
    </row>
    <row r="34" ht="15.75" customHeight="1">
      <c r="B34" s="15" t="s">
        <v>25</v>
      </c>
      <c r="C34" s="15" t="s">
        <v>114</v>
      </c>
      <c r="D34" s="15" t="s">
        <v>22</v>
      </c>
      <c r="E34" s="15" t="s">
        <v>115</v>
      </c>
      <c r="F34" s="15" t="s">
        <v>116</v>
      </c>
      <c r="G34" s="15"/>
      <c r="H34" s="15" t="s">
        <v>13</v>
      </c>
      <c r="I34" s="15" t="s">
        <v>61</v>
      </c>
    </row>
    <row r="35" ht="15.75" customHeight="1">
      <c r="C35" s="16" t="s">
        <v>80</v>
      </c>
      <c r="G35" s="16" t="s">
        <v>81</v>
      </c>
      <c r="I35" s="16" t="s">
        <v>82</v>
      </c>
    </row>
    <row r="36" ht="15.75" customHeight="1">
      <c r="B36" s="16" t="s">
        <v>117</v>
      </c>
      <c r="C36" s="16" t="s">
        <v>118</v>
      </c>
      <c r="G36" s="16" t="s">
        <v>67</v>
      </c>
      <c r="I36" s="16">
        <v>3.0</v>
      </c>
    </row>
    <row r="37" ht="15.75" customHeight="1">
      <c r="B37" s="16" t="s">
        <v>119</v>
      </c>
      <c r="C37" s="16" t="s">
        <v>120</v>
      </c>
      <c r="G37" s="16" t="s">
        <v>67</v>
      </c>
      <c r="I37" s="16">
        <v>2.0</v>
      </c>
    </row>
    <row r="38" ht="15.75" customHeight="1">
      <c r="B38" s="16" t="s">
        <v>121</v>
      </c>
      <c r="C38" s="16" t="s">
        <v>122</v>
      </c>
      <c r="G38" s="16" t="s">
        <v>67</v>
      </c>
      <c r="I38" s="16">
        <v>3.0</v>
      </c>
    </row>
    <row r="39" ht="15.75" customHeight="1">
      <c r="B39" s="16" t="s">
        <v>123</v>
      </c>
      <c r="C39" s="16" t="s">
        <v>124</v>
      </c>
      <c r="G39" s="16" t="s">
        <v>67</v>
      </c>
      <c r="I39" s="16">
        <v>2.0</v>
      </c>
    </row>
    <row r="40" ht="15.75" customHeight="1"/>
    <row r="41" ht="15.75" customHeight="1">
      <c r="B41" s="15" t="s">
        <v>29</v>
      </c>
      <c r="C41" s="15" t="s">
        <v>125</v>
      </c>
      <c r="D41" s="15" t="s">
        <v>126</v>
      </c>
      <c r="E41" s="15" t="s">
        <v>127</v>
      </c>
      <c r="F41" s="15" t="s">
        <v>128</v>
      </c>
      <c r="G41" s="15"/>
      <c r="H41" s="15" t="s">
        <v>13</v>
      </c>
      <c r="I41" s="15" t="s">
        <v>61</v>
      </c>
    </row>
    <row r="42" ht="15.75" customHeight="1">
      <c r="C42" s="16" t="s">
        <v>80</v>
      </c>
      <c r="G42" s="16" t="s">
        <v>81</v>
      </c>
      <c r="I42" s="16" t="s">
        <v>82</v>
      </c>
    </row>
    <row r="43" ht="15.75" customHeight="1">
      <c r="B43" s="16" t="s">
        <v>129</v>
      </c>
      <c r="C43" s="16" t="s">
        <v>130</v>
      </c>
      <c r="G43" s="16" t="s">
        <v>73</v>
      </c>
      <c r="I43" s="16">
        <v>3.0</v>
      </c>
    </row>
    <row r="44" ht="15.75" customHeight="1">
      <c r="B44" s="16" t="s">
        <v>131</v>
      </c>
      <c r="C44" s="16" t="s">
        <v>132</v>
      </c>
      <c r="G44" s="16" t="s">
        <v>73</v>
      </c>
      <c r="I44" s="16">
        <v>3.0</v>
      </c>
    </row>
    <row r="45" ht="15.75" customHeight="1">
      <c r="B45" s="16" t="s">
        <v>133</v>
      </c>
      <c r="C45" s="16" t="s">
        <v>134</v>
      </c>
      <c r="G45" s="16" t="s">
        <v>73</v>
      </c>
      <c r="I45" s="16">
        <v>2.0</v>
      </c>
    </row>
    <row r="46" ht="15.75" customHeight="1">
      <c r="B46" s="16" t="s">
        <v>135</v>
      </c>
      <c r="C46" s="16" t="s">
        <v>136</v>
      </c>
      <c r="G46" s="16" t="s">
        <v>73</v>
      </c>
      <c r="I46" s="16">
        <v>3.0</v>
      </c>
    </row>
    <row r="47" ht="15.75" customHeight="1"/>
    <row r="48" ht="15.75" customHeight="1"/>
    <row r="49" ht="15.75" customHeight="1">
      <c r="B49" s="18" t="s">
        <v>137</v>
      </c>
    </row>
    <row r="50" ht="15.75" customHeight="1">
      <c r="B50" s="8" t="s">
        <v>0</v>
      </c>
      <c r="C50" s="8" t="s">
        <v>1</v>
      </c>
      <c r="D50" s="8" t="s">
        <v>2</v>
      </c>
      <c r="E50" s="8" t="s">
        <v>51</v>
      </c>
      <c r="F50" s="8" t="s">
        <v>52</v>
      </c>
      <c r="G50" s="8" t="s">
        <v>53</v>
      </c>
      <c r="H50" s="8" t="s">
        <v>5</v>
      </c>
      <c r="I50" s="8" t="s">
        <v>54</v>
      </c>
      <c r="J50" s="8" t="s">
        <v>55</v>
      </c>
    </row>
    <row r="51" ht="15.75" customHeight="1">
      <c r="B51" s="3" t="s">
        <v>34</v>
      </c>
      <c r="C51" s="7" t="s">
        <v>35</v>
      </c>
      <c r="D51" s="4" t="s">
        <v>31</v>
      </c>
      <c r="E51" s="7" t="s">
        <v>36</v>
      </c>
      <c r="F51" s="7" t="s">
        <v>37</v>
      </c>
      <c r="G51" s="4"/>
      <c r="H51" s="19"/>
      <c r="I51" s="4" t="s">
        <v>13</v>
      </c>
      <c r="J51" s="9" t="s">
        <v>61</v>
      </c>
    </row>
    <row r="52" ht="15.75" customHeight="1">
      <c r="B52" s="3" t="s">
        <v>38</v>
      </c>
      <c r="C52" s="7" t="s">
        <v>39</v>
      </c>
      <c r="D52" s="7" t="s">
        <v>40</v>
      </c>
      <c r="E52" s="7" t="s">
        <v>41</v>
      </c>
      <c r="F52" s="7" t="s">
        <v>42</v>
      </c>
      <c r="G52" s="4"/>
      <c r="H52" s="19"/>
      <c r="I52" s="4" t="s">
        <v>13</v>
      </c>
      <c r="J52" s="9" t="s">
        <v>61</v>
      </c>
    </row>
    <row r="53" ht="15.75" customHeight="1">
      <c r="B53" s="3" t="s">
        <v>43</v>
      </c>
      <c r="C53" s="7" t="s">
        <v>44</v>
      </c>
      <c r="D53" s="7" t="s">
        <v>22</v>
      </c>
      <c r="E53" s="7" t="s">
        <v>45</v>
      </c>
      <c r="F53" s="7" t="s">
        <v>46</v>
      </c>
      <c r="G53" s="4"/>
      <c r="H53" s="19"/>
      <c r="I53" s="4" t="s">
        <v>13</v>
      </c>
      <c r="J53" s="9" t="s">
        <v>61</v>
      </c>
    </row>
    <row r="54" ht="15.75" customHeight="1">
      <c r="B54" s="3" t="s">
        <v>47</v>
      </c>
      <c r="C54" s="7" t="s">
        <v>48</v>
      </c>
      <c r="D54" s="7" t="s">
        <v>22</v>
      </c>
      <c r="E54" s="7" t="s">
        <v>49</v>
      </c>
      <c r="F54" s="7" t="s">
        <v>50</v>
      </c>
      <c r="G54" s="4"/>
      <c r="H54" s="19"/>
      <c r="I54" s="4" t="s">
        <v>13</v>
      </c>
      <c r="J54" s="9" t="s">
        <v>61</v>
      </c>
    </row>
    <row r="55" ht="15.75" customHeight="1">
      <c r="B55" s="8"/>
      <c r="C55" s="8"/>
      <c r="D55" s="8"/>
      <c r="E55" s="8"/>
      <c r="F55" s="8"/>
      <c r="G55" s="8"/>
      <c r="H55" s="8"/>
      <c r="I55" s="8"/>
      <c r="J55" s="8">
        <v>5.0</v>
      </c>
    </row>
    <row r="56" ht="15.75" customHeight="1"/>
    <row r="57" ht="15.75" customHeight="1">
      <c r="B57" s="11"/>
      <c r="C57" s="11"/>
      <c r="D57" s="12"/>
      <c r="E57" s="12"/>
      <c r="F57" s="12"/>
      <c r="G57" s="11"/>
      <c r="H57" s="11"/>
      <c r="I57" s="12"/>
      <c r="J57" s="13"/>
    </row>
    <row r="58" ht="15.75" customHeight="1">
      <c r="B58" s="8" t="s">
        <v>0</v>
      </c>
      <c r="C58" s="8" t="s">
        <v>1</v>
      </c>
      <c r="D58" s="8" t="s">
        <v>2</v>
      </c>
      <c r="E58" s="8" t="s">
        <v>51</v>
      </c>
      <c r="F58" s="8" t="s">
        <v>52</v>
      </c>
      <c r="G58" s="8" t="s">
        <v>53</v>
      </c>
      <c r="H58" s="8" t="s">
        <v>5</v>
      </c>
      <c r="I58" s="8" t="s">
        <v>54</v>
      </c>
      <c r="J58" s="8" t="s">
        <v>55</v>
      </c>
    </row>
    <row r="59" ht="15.75" customHeight="1">
      <c r="B59" s="14" t="s">
        <v>34</v>
      </c>
      <c r="C59" s="20" t="s">
        <v>35</v>
      </c>
      <c r="D59" s="14" t="s">
        <v>31</v>
      </c>
      <c r="E59" s="20" t="s">
        <v>36</v>
      </c>
      <c r="F59" s="20" t="s">
        <v>37</v>
      </c>
      <c r="G59" s="14" t="s">
        <v>85</v>
      </c>
      <c r="H59" s="21"/>
      <c r="I59" s="15" t="s">
        <v>13</v>
      </c>
      <c r="J59" s="15" t="s">
        <v>61</v>
      </c>
    </row>
    <row r="60" ht="15.75" customHeight="1">
      <c r="C60" s="16" t="s">
        <v>80</v>
      </c>
      <c r="G60" s="16" t="s">
        <v>81</v>
      </c>
      <c r="I60" s="16" t="s">
        <v>82</v>
      </c>
    </row>
    <row r="61" ht="15.75" customHeight="1">
      <c r="B61" s="22" t="s">
        <v>138</v>
      </c>
      <c r="C61" s="22" t="s">
        <v>139</v>
      </c>
      <c r="G61" s="16" t="s">
        <v>85</v>
      </c>
      <c r="I61" s="22">
        <v>2.0</v>
      </c>
    </row>
    <row r="62" ht="15.75" customHeight="1">
      <c r="B62" s="22" t="s">
        <v>140</v>
      </c>
      <c r="C62" s="22" t="s">
        <v>141</v>
      </c>
      <c r="G62" s="16" t="s">
        <v>85</v>
      </c>
      <c r="I62" s="16">
        <v>3.0</v>
      </c>
    </row>
    <row r="63" ht="15.75" customHeight="1">
      <c r="B63" s="22" t="s">
        <v>142</v>
      </c>
      <c r="C63" s="22" t="s">
        <v>143</v>
      </c>
      <c r="G63" s="16" t="s">
        <v>85</v>
      </c>
      <c r="I63" s="16">
        <v>2.0</v>
      </c>
    </row>
    <row r="64" ht="15.75" customHeight="1">
      <c r="B64" s="22" t="s">
        <v>144</v>
      </c>
      <c r="C64" s="22" t="s">
        <v>145</v>
      </c>
      <c r="G64" s="16" t="s">
        <v>85</v>
      </c>
      <c r="I64" s="22">
        <v>1.0</v>
      </c>
    </row>
    <row r="65" ht="15.75" customHeight="1">
      <c r="B65" s="17"/>
      <c r="C65" s="17"/>
      <c r="D65" s="17"/>
      <c r="E65" s="17"/>
      <c r="F65" s="17"/>
      <c r="G65" s="17"/>
    </row>
    <row r="66" ht="15.75" customHeight="1">
      <c r="B66" s="15" t="s">
        <v>38</v>
      </c>
      <c r="C66" s="23" t="s">
        <v>39</v>
      </c>
      <c r="D66" s="23" t="s">
        <v>40</v>
      </c>
      <c r="E66" s="23" t="s">
        <v>41</v>
      </c>
      <c r="F66" s="23" t="s">
        <v>42</v>
      </c>
      <c r="G66" s="15" t="s">
        <v>64</v>
      </c>
      <c r="H66" s="21"/>
      <c r="I66" s="15" t="s">
        <v>13</v>
      </c>
      <c r="J66" s="24" t="s">
        <v>61</v>
      </c>
    </row>
    <row r="67" ht="15.75" customHeight="1">
      <c r="C67" s="16" t="s">
        <v>80</v>
      </c>
      <c r="G67" s="16" t="s">
        <v>81</v>
      </c>
      <c r="I67" s="16" t="s">
        <v>82</v>
      </c>
    </row>
    <row r="68" ht="15.75" customHeight="1">
      <c r="B68" s="22" t="s">
        <v>146</v>
      </c>
      <c r="C68" s="22" t="s">
        <v>147</v>
      </c>
      <c r="G68" s="16" t="s">
        <v>64</v>
      </c>
      <c r="I68" s="16">
        <v>3.0</v>
      </c>
    </row>
    <row r="69" ht="15.75" customHeight="1">
      <c r="B69" s="22" t="s">
        <v>148</v>
      </c>
      <c r="C69" s="22" t="s">
        <v>149</v>
      </c>
      <c r="G69" s="16" t="s">
        <v>64</v>
      </c>
      <c r="I69" s="22">
        <v>2.0</v>
      </c>
    </row>
    <row r="70" ht="15.75" customHeight="1">
      <c r="B70" s="25" t="s">
        <v>150</v>
      </c>
      <c r="C70" s="25" t="s">
        <v>151</v>
      </c>
      <c r="D70" s="17"/>
      <c r="E70" s="17"/>
      <c r="F70" s="17"/>
      <c r="G70" s="17" t="s">
        <v>64</v>
      </c>
      <c r="H70" s="17"/>
      <c r="I70" s="17">
        <v>2.0</v>
      </c>
    </row>
    <row r="71" ht="15.75" customHeight="1">
      <c r="B71" s="22" t="s">
        <v>152</v>
      </c>
      <c r="C71" s="22" t="s">
        <v>153</v>
      </c>
      <c r="G71" s="16" t="s">
        <v>64</v>
      </c>
      <c r="I71" s="22">
        <v>1.0</v>
      </c>
    </row>
    <row r="72" ht="15.75" customHeight="1"/>
    <row r="73" ht="15.75" customHeight="1">
      <c r="B73" s="15" t="s">
        <v>43</v>
      </c>
      <c r="C73" s="23" t="s">
        <v>44</v>
      </c>
      <c r="D73" s="23" t="s">
        <v>22</v>
      </c>
      <c r="E73" s="23" t="s">
        <v>45</v>
      </c>
      <c r="F73" s="23" t="s">
        <v>46</v>
      </c>
      <c r="G73" s="15" t="s">
        <v>67</v>
      </c>
      <c r="H73" s="21"/>
      <c r="I73" s="15" t="s">
        <v>13</v>
      </c>
      <c r="J73" s="24" t="s">
        <v>61</v>
      </c>
    </row>
    <row r="74" ht="15.75" customHeight="1">
      <c r="B74" s="17"/>
      <c r="C74" s="17" t="s">
        <v>80</v>
      </c>
      <c r="D74" s="17"/>
      <c r="E74" s="17"/>
      <c r="F74" s="17"/>
      <c r="G74" s="17" t="s">
        <v>81</v>
      </c>
      <c r="I74" s="16" t="s">
        <v>82</v>
      </c>
    </row>
    <row r="75" ht="15.75" customHeight="1">
      <c r="B75" s="22" t="s">
        <v>154</v>
      </c>
      <c r="C75" s="22" t="s">
        <v>155</v>
      </c>
      <c r="G75" s="16" t="s">
        <v>67</v>
      </c>
      <c r="I75" s="16">
        <v>3.0</v>
      </c>
    </row>
    <row r="76" ht="15.75" customHeight="1">
      <c r="B76" s="22" t="s">
        <v>156</v>
      </c>
      <c r="C76" s="22" t="s">
        <v>157</v>
      </c>
      <c r="G76" s="16" t="s">
        <v>67</v>
      </c>
      <c r="I76" s="16">
        <v>2.0</v>
      </c>
    </row>
    <row r="77" ht="15.75" customHeight="1">
      <c r="B77" s="22" t="s">
        <v>158</v>
      </c>
      <c r="C77" s="22" t="s">
        <v>159</v>
      </c>
      <c r="G77" s="16" t="s">
        <v>67</v>
      </c>
      <c r="I77" s="22">
        <v>2.0</v>
      </c>
    </row>
    <row r="78" ht="15.75" customHeight="1">
      <c r="B78" s="22" t="s">
        <v>160</v>
      </c>
      <c r="C78" s="22" t="s">
        <v>161</v>
      </c>
      <c r="G78" s="16" t="s">
        <v>67</v>
      </c>
      <c r="I78" s="16">
        <v>1.0</v>
      </c>
    </row>
    <row r="79" ht="15.75" customHeight="1">
      <c r="B79" s="17"/>
      <c r="C79" s="17"/>
      <c r="D79" s="17"/>
      <c r="E79" s="17"/>
      <c r="F79" s="17"/>
      <c r="G79" s="17"/>
    </row>
    <row r="80" ht="15.75" customHeight="1">
      <c r="B80" s="15" t="s">
        <v>47</v>
      </c>
      <c r="C80" s="23" t="s">
        <v>48</v>
      </c>
      <c r="D80" s="23" t="s">
        <v>22</v>
      </c>
      <c r="E80" s="23" t="s">
        <v>49</v>
      </c>
      <c r="F80" s="23" t="s">
        <v>50</v>
      </c>
      <c r="G80" s="15"/>
      <c r="H80" s="21"/>
      <c r="I80" s="15" t="s">
        <v>13</v>
      </c>
      <c r="J80" s="24" t="s">
        <v>61</v>
      </c>
    </row>
    <row r="81" ht="15.75" customHeight="1">
      <c r="C81" s="16" t="s">
        <v>80</v>
      </c>
      <c r="G81" s="16" t="s">
        <v>81</v>
      </c>
      <c r="I81" s="16" t="s">
        <v>82</v>
      </c>
    </row>
    <row r="82" ht="15.75" customHeight="1">
      <c r="B82" s="22" t="s">
        <v>162</v>
      </c>
      <c r="C82" s="22" t="s">
        <v>163</v>
      </c>
      <c r="G82" s="16" t="s">
        <v>73</v>
      </c>
      <c r="I82" s="22">
        <v>2.0</v>
      </c>
    </row>
    <row r="83" ht="15.75" customHeight="1">
      <c r="B83" s="22" t="s">
        <v>164</v>
      </c>
      <c r="C83" s="22" t="s">
        <v>165</v>
      </c>
      <c r="G83" s="16" t="s">
        <v>73</v>
      </c>
      <c r="I83" s="16">
        <v>2.0</v>
      </c>
    </row>
    <row r="84" ht="15.75" customHeight="1">
      <c r="B84" s="22" t="s">
        <v>166</v>
      </c>
      <c r="C84" s="22" t="s">
        <v>167</v>
      </c>
      <c r="G84" s="16" t="s">
        <v>73</v>
      </c>
      <c r="I84" s="16">
        <v>3.0</v>
      </c>
    </row>
    <row r="85" ht="15.75" customHeight="1">
      <c r="B85" s="22" t="s">
        <v>168</v>
      </c>
      <c r="C85" s="22" t="s">
        <v>169</v>
      </c>
      <c r="G85" s="16" t="s">
        <v>73</v>
      </c>
      <c r="I85" s="22">
        <v>1.0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">
    <mergeCell ref="B49:J4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26" width="12.5"/>
  </cols>
  <sheetData>
    <row r="1" ht="15.75" customHeight="1">
      <c r="B1" s="11"/>
      <c r="C1" s="11" t="s">
        <v>82</v>
      </c>
      <c r="D1" s="11" t="s">
        <v>170</v>
      </c>
      <c r="E1" s="11" t="s">
        <v>171</v>
      </c>
      <c r="F1" s="11" t="s">
        <v>172</v>
      </c>
      <c r="G1" s="11" t="s">
        <v>173</v>
      </c>
      <c r="H1" s="11" t="s">
        <v>174</v>
      </c>
      <c r="I1" s="11" t="s">
        <v>175</v>
      </c>
    </row>
    <row r="2" ht="15.75" customHeight="1">
      <c r="B2" s="26" t="s">
        <v>176</v>
      </c>
      <c r="C2" s="16">
        <v>3.0</v>
      </c>
      <c r="D2" s="16">
        <v>0.0</v>
      </c>
      <c r="E2" s="16">
        <v>1.0</v>
      </c>
      <c r="F2" s="16">
        <v>1.0</v>
      </c>
      <c r="G2" s="16">
        <v>1.0</v>
      </c>
      <c r="H2" s="16">
        <v>0.0</v>
      </c>
      <c r="I2" s="27">
        <f t="shared" ref="I2:I5" si="1">SUM(D2:H2)</f>
        <v>3</v>
      </c>
    </row>
    <row r="3" ht="27.0" customHeight="1">
      <c r="B3" s="26" t="s">
        <v>177</v>
      </c>
      <c r="C3" s="16">
        <v>3.0</v>
      </c>
      <c r="D3" s="16">
        <v>1.0</v>
      </c>
      <c r="E3" s="16">
        <v>1.0</v>
      </c>
      <c r="F3" s="16">
        <v>1.0</v>
      </c>
      <c r="G3" s="16">
        <v>0.0</v>
      </c>
      <c r="H3" s="16">
        <v>0.0</v>
      </c>
      <c r="I3" s="27">
        <f t="shared" si="1"/>
        <v>3</v>
      </c>
    </row>
    <row r="4" ht="31.5" customHeight="1">
      <c r="B4" s="28" t="s">
        <v>178</v>
      </c>
      <c r="C4" s="16">
        <v>2.0</v>
      </c>
      <c r="D4" s="16">
        <v>0.0</v>
      </c>
      <c r="E4" s="16">
        <v>1.0</v>
      </c>
      <c r="F4" s="16">
        <v>1.0</v>
      </c>
      <c r="G4" s="16">
        <v>0.0</v>
      </c>
      <c r="H4" s="16">
        <v>0.0</v>
      </c>
      <c r="I4" s="29">
        <f t="shared" si="1"/>
        <v>2</v>
      </c>
    </row>
    <row r="5" ht="30.75" customHeight="1">
      <c r="B5" s="28" t="s">
        <v>179</v>
      </c>
      <c r="C5" s="16">
        <v>2.0</v>
      </c>
      <c r="D5" s="16">
        <v>1.0</v>
      </c>
      <c r="E5" s="16">
        <v>1.0</v>
      </c>
      <c r="F5" s="16">
        <v>0.0</v>
      </c>
      <c r="G5" s="16">
        <v>0.0</v>
      </c>
      <c r="H5" s="16">
        <v>0.0</v>
      </c>
      <c r="I5" s="29">
        <f t="shared" si="1"/>
        <v>2</v>
      </c>
    </row>
    <row r="6" ht="15.75" customHeight="1">
      <c r="B6" s="28"/>
      <c r="I6" s="29"/>
    </row>
    <row r="7" ht="15.75" customHeight="1">
      <c r="B7" s="28" t="s">
        <v>180</v>
      </c>
      <c r="C7" s="16">
        <v>3.0</v>
      </c>
      <c r="D7" s="16">
        <v>0.0</v>
      </c>
      <c r="E7" s="16">
        <v>1.0</v>
      </c>
      <c r="F7" s="16">
        <v>1.0</v>
      </c>
      <c r="G7" s="16">
        <v>1.0</v>
      </c>
      <c r="H7" s="16">
        <v>0.0</v>
      </c>
      <c r="I7" s="29">
        <f t="shared" ref="I7:I10" si="2">SUM(D7:H7)</f>
        <v>3</v>
      </c>
    </row>
    <row r="8" ht="15.75" customHeight="1">
      <c r="B8" s="28" t="s">
        <v>181</v>
      </c>
      <c r="C8" s="16">
        <v>3.0</v>
      </c>
      <c r="D8" s="16">
        <v>1.0</v>
      </c>
      <c r="E8" s="16">
        <v>1.0</v>
      </c>
      <c r="F8" s="16">
        <v>1.0</v>
      </c>
      <c r="G8" s="16">
        <v>0.0</v>
      </c>
      <c r="H8" s="16">
        <v>0.0</v>
      </c>
      <c r="I8" s="29">
        <f t="shared" si="2"/>
        <v>3</v>
      </c>
    </row>
    <row r="9" ht="15.75" customHeight="1">
      <c r="B9" s="28" t="s">
        <v>182</v>
      </c>
      <c r="C9" s="16">
        <v>2.0</v>
      </c>
      <c r="D9" s="16">
        <v>0.0</v>
      </c>
      <c r="E9" s="16">
        <v>1.0</v>
      </c>
      <c r="F9" s="16">
        <v>1.0</v>
      </c>
      <c r="G9" s="16">
        <v>0.0</v>
      </c>
      <c r="H9" s="16">
        <v>0.0</v>
      </c>
      <c r="I9" s="29">
        <f t="shared" si="2"/>
        <v>2</v>
      </c>
    </row>
    <row r="10" ht="15.75" customHeight="1">
      <c r="B10" s="28" t="s">
        <v>183</v>
      </c>
      <c r="C10" s="16">
        <v>3.0</v>
      </c>
      <c r="D10" s="16">
        <v>1.0</v>
      </c>
      <c r="E10" s="16">
        <v>1.0</v>
      </c>
      <c r="F10" s="16">
        <v>1.0</v>
      </c>
      <c r="G10" s="16">
        <v>0.0</v>
      </c>
      <c r="H10" s="16">
        <v>0.0</v>
      </c>
      <c r="I10" s="29">
        <f t="shared" si="2"/>
        <v>3</v>
      </c>
    </row>
    <row r="11" ht="15.75" customHeight="1">
      <c r="B11" s="28"/>
      <c r="I11" s="29"/>
    </row>
    <row r="12" ht="15.75" customHeight="1">
      <c r="B12" s="28" t="s">
        <v>184</v>
      </c>
      <c r="C12" s="16">
        <v>3.0</v>
      </c>
      <c r="D12" s="16">
        <v>0.0</v>
      </c>
      <c r="E12" s="16">
        <v>1.0</v>
      </c>
      <c r="F12" s="16">
        <v>1.0</v>
      </c>
      <c r="G12" s="16">
        <v>1.0</v>
      </c>
      <c r="H12" s="16">
        <v>0.0</v>
      </c>
      <c r="I12" s="29">
        <f t="shared" ref="I12:I15" si="3">SUM(D12:H12)</f>
        <v>3</v>
      </c>
    </row>
    <row r="13" ht="15.75" customHeight="1">
      <c r="B13" s="28" t="s">
        <v>185</v>
      </c>
      <c r="C13" s="16">
        <v>2.0</v>
      </c>
      <c r="D13" s="16">
        <v>1.0</v>
      </c>
      <c r="E13" s="16">
        <v>1.0</v>
      </c>
      <c r="F13" s="16">
        <v>0.0</v>
      </c>
      <c r="G13" s="16">
        <v>0.0</v>
      </c>
      <c r="H13" s="16">
        <v>0.0</v>
      </c>
      <c r="I13" s="29">
        <f t="shared" si="3"/>
        <v>2</v>
      </c>
    </row>
    <row r="14" ht="15.75" customHeight="1">
      <c r="B14" s="28" t="s">
        <v>186</v>
      </c>
      <c r="C14" s="16">
        <v>3.0</v>
      </c>
      <c r="D14" s="16">
        <v>1.0</v>
      </c>
      <c r="E14" s="16">
        <v>1.0</v>
      </c>
      <c r="F14" s="16">
        <v>1.0</v>
      </c>
      <c r="G14" s="16">
        <v>0.0</v>
      </c>
      <c r="H14" s="16">
        <v>0.0</v>
      </c>
      <c r="I14" s="29">
        <f t="shared" si="3"/>
        <v>3</v>
      </c>
    </row>
    <row r="15" ht="15.75" customHeight="1">
      <c r="B15" s="28" t="s">
        <v>187</v>
      </c>
      <c r="C15" s="16">
        <v>1.0</v>
      </c>
      <c r="D15" s="16">
        <v>0.0</v>
      </c>
      <c r="E15" s="16">
        <v>1.0</v>
      </c>
      <c r="F15" s="16">
        <v>0.0</v>
      </c>
      <c r="G15" s="16">
        <v>0.0</v>
      </c>
      <c r="H15" s="16">
        <v>0.0</v>
      </c>
      <c r="I15" s="29">
        <f t="shared" si="3"/>
        <v>1</v>
      </c>
    </row>
    <row r="16" ht="15.75" customHeight="1">
      <c r="B16" s="28"/>
      <c r="I16" s="29"/>
    </row>
    <row r="17" ht="15.75" customHeight="1">
      <c r="B17" s="28" t="s">
        <v>188</v>
      </c>
      <c r="C17" s="16">
        <v>3.0</v>
      </c>
      <c r="D17" s="16">
        <v>0.0</v>
      </c>
      <c r="E17" s="16">
        <v>1.0</v>
      </c>
      <c r="F17" s="16">
        <v>1.0</v>
      </c>
      <c r="G17" s="16">
        <v>1.0</v>
      </c>
      <c r="H17" s="16">
        <v>0.0</v>
      </c>
      <c r="I17" s="29">
        <f t="shared" ref="I17:I20" si="4">SUM(D17:H17)</f>
        <v>3</v>
      </c>
    </row>
    <row r="18" ht="15.75" customHeight="1">
      <c r="B18" s="28" t="s">
        <v>189</v>
      </c>
      <c r="C18" s="16">
        <v>2.0</v>
      </c>
      <c r="D18" s="16">
        <v>1.0</v>
      </c>
      <c r="E18" s="16">
        <v>1.0</v>
      </c>
      <c r="F18" s="16">
        <v>0.0</v>
      </c>
      <c r="G18" s="16">
        <v>0.0</v>
      </c>
      <c r="H18" s="16">
        <v>0.0</v>
      </c>
      <c r="I18" s="29">
        <f t="shared" si="4"/>
        <v>2</v>
      </c>
    </row>
    <row r="19" ht="15.75" customHeight="1">
      <c r="B19" s="28" t="s">
        <v>190</v>
      </c>
      <c r="C19" s="16">
        <v>3.0</v>
      </c>
      <c r="D19" s="16">
        <v>1.0</v>
      </c>
      <c r="E19" s="16">
        <v>1.0</v>
      </c>
      <c r="F19" s="16">
        <v>1.0</v>
      </c>
      <c r="G19" s="16">
        <v>0.0</v>
      </c>
      <c r="H19" s="16">
        <v>0.0</v>
      </c>
      <c r="I19" s="29">
        <f t="shared" si="4"/>
        <v>3</v>
      </c>
    </row>
    <row r="20" ht="15.75" customHeight="1">
      <c r="B20" s="28" t="s">
        <v>191</v>
      </c>
      <c r="C20" s="16">
        <v>2.0</v>
      </c>
      <c r="D20" s="16">
        <v>0.0</v>
      </c>
      <c r="E20" s="16">
        <v>1.0</v>
      </c>
      <c r="F20" s="16">
        <v>1.0</v>
      </c>
      <c r="G20" s="16">
        <v>0.0</v>
      </c>
      <c r="H20" s="16">
        <v>0.0</v>
      </c>
      <c r="I20" s="29">
        <f t="shared" si="4"/>
        <v>2</v>
      </c>
    </row>
    <row r="21" ht="15.75" customHeight="1">
      <c r="B21" s="28"/>
      <c r="I21" s="29"/>
    </row>
    <row r="22" ht="15.75" customHeight="1">
      <c r="B22" s="28" t="s">
        <v>192</v>
      </c>
      <c r="C22" s="16">
        <v>3.0</v>
      </c>
      <c r="D22" s="16">
        <v>1.0</v>
      </c>
      <c r="E22" s="16">
        <v>1.0</v>
      </c>
      <c r="F22" s="16">
        <v>1.0</v>
      </c>
      <c r="G22" s="16">
        <v>0.0</v>
      </c>
      <c r="H22" s="16">
        <v>0.0</v>
      </c>
      <c r="I22" s="29">
        <f t="shared" ref="I22:I25" si="5">SUM(D22:H22)</f>
        <v>3</v>
      </c>
    </row>
    <row r="23" ht="15.75" customHeight="1">
      <c r="B23" s="28" t="s">
        <v>193</v>
      </c>
      <c r="C23" s="16">
        <v>3.0</v>
      </c>
      <c r="D23" s="16">
        <v>1.0</v>
      </c>
      <c r="E23" s="16">
        <v>1.0</v>
      </c>
      <c r="F23" s="16">
        <v>1.0</v>
      </c>
      <c r="G23" s="16">
        <v>0.0</v>
      </c>
      <c r="H23" s="16">
        <v>0.0</v>
      </c>
      <c r="I23" s="29">
        <f t="shared" si="5"/>
        <v>3</v>
      </c>
    </row>
    <row r="24" ht="15.75" customHeight="1">
      <c r="B24" s="28" t="s">
        <v>194</v>
      </c>
      <c r="C24" s="16">
        <v>2.0</v>
      </c>
      <c r="D24" s="16">
        <v>0.0</v>
      </c>
      <c r="E24" s="16">
        <v>1.0</v>
      </c>
      <c r="F24" s="16">
        <v>1.0</v>
      </c>
      <c r="G24" s="16">
        <v>0.0</v>
      </c>
      <c r="H24" s="16">
        <v>0.0</v>
      </c>
      <c r="I24" s="29">
        <f t="shared" si="5"/>
        <v>2</v>
      </c>
    </row>
    <row r="25" ht="15.75" customHeight="1">
      <c r="B25" s="28" t="s">
        <v>195</v>
      </c>
      <c r="C25" s="16">
        <v>3.0</v>
      </c>
      <c r="D25" s="16">
        <v>1.0</v>
      </c>
      <c r="E25" s="16">
        <v>1.0</v>
      </c>
      <c r="F25" s="16">
        <v>1.0</v>
      </c>
      <c r="G25" s="16">
        <v>0.0</v>
      </c>
      <c r="H25" s="16">
        <v>0.0</v>
      </c>
      <c r="I25" s="29">
        <f t="shared" si="5"/>
        <v>3</v>
      </c>
    </row>
    <row r="26" ht="15.75" customHeight="1"/>
    <row r="27" ht="15.75" customHeight="1"/>
    <row r="28" ht="15.75" customHeight="1">
      <c r="B28" s="30" t="s">
        <v>196</v>
      </c>
      <c r="C28" s="11">
        <f>SUM(C2:C25)</f>
        <v>51</v>
      </c>
      <c r="D28" s="11">
        <f t="shared" ref="D28:G28" si="6">C28-SUM(D2:D25)</f>
        <v>40</v>
      </c>
      <c r="E28" s="11">
        <f t="shared" si="6"/>
        <v>20</v>
      </c>
      <c r="F28" s="11">
        <f t="shared" si="6"/>
        <v>4</v>
      </c>
      <c r="G28" s="11">
        <f t="shared" si="6"/>
        <v>0</v>
      </c>
      <c r="H28" s="11">
        <f>G28-SUM(H2:H3)</f>
        <v>0</v>
      </c>
    </row>
    <row r="29" ht="15.75" customHeight="1">
      <c r="B29" s="30" t="s">
        <v>197</v>
      </c>
      <c r="C29" s="11">
        <f>SUM(C2:C25)</f>
        <v>51</v>
      </c>
      <c r="D29" s="11">
        <f>C29-(SUM(C2:C25)/5)</f>
        <v>40.8</v>
      </c>
      <c r="E29" s="11">
        <f>D29-(SUM(C2:C25)/5)</f>
        <v>30.6</v>
      </c>
      <c r="F29" s="11">
        <f>E29-(SUM(C2:C25)/5)</f>
        <v>20.4</v>
      </c>
      <c r="G29" s="11">
        <f>F29-(SUM(C2:C25)/5)</f>
        <v>10.2</v>
      </c>
      <c r="H29" s="11">
        <f>G29-(SUM(C2:C3)/5)</f>
        <v>9</v>
      </c>
    </row>
    <row r="30" ht="15.75" customHeight="1"/>
    <row r="31" ht="15.75" customHeight="1">
      <c r="B31" s="31" t="s">
        <v>198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B52" s="32" t="s">
        <v>137</v>
      </c>
    </row>
    <row r="53" ht="15.75" customHeight="1"/>
    <row r="54" ht="15.75" customHeight="1"/>
    <row r="55" ht="15.75" customHeight="1">
      <c r="B55" s="11"/>
      <c r="C55" s="11" t="s">
        <v>82</v>
      </c>
      <c r="D55" s="11" t="s">
        <v>170</v>
      </c>
      <c r="E55" s="11" t="s">
        <v>171</v>
      </c>
      <c r="F55" s="11" t="s">
        <v>172</v>
      </c>
      <c r="G55" s="11" t="s">
        <v>173</v>
      </c>
      <c r="H55" s="11" t="s">
        <v>174</v>
      </c>
      <c r="I55" s="11" t="s">
        <v>175</v>
      </c>
    </row>
    <row r="56" ht="15.75" customHeight="1">
      <c r="B56" s="33" t="s">
        <v>199</v>
      </c>
      <c r="C56" s="22">
        <v>2.0</v>
      </c>
      <c r="D56" s="16">
        <v>0.0</v>
      </c>
      <c r="E56" s="22">
        <v>0.0</v>
      </c>
      <c r="F56" s="22">
        <v>0.0</v>
      </c>
      <c r="G56" s="22">
        <v>1.0</v>
      </c>
      <c r="H56" s="22">
        <v>1.0</v>
      </c>
      <c r="I56" s="27">
        <f t="shared" ref="I56:I59" si="7">SUM(D56:H56)</f>
        <v>2</v>
      </c>
    </row>
    <row r="57" ht="15.75" customHeight="1">
      <c r="B57" s="33" t="s">
        <v>200</v>
      </c>
      <c r="C57" s="16">
        <v>3.0</v>
      </c>
      <c r="D57" s="16">
        <v>1.0</v>
      </c>
      <c r="E57" s="16">
        <v>1.0</v>
      </c>
      <c r="F57" s="16">
        <v>1.0</v>
      </c>
      <c r="G57" s="16">
        <v>0.0</v>
      </c>
      <c r="H57" s="16">
        <v>0.0</v>
      </c>
      <c r="I57" s="27">
        <f t="shared" si="7"/>
        <v>3</v>
      </c>
    </row>
    <row r="58" ht="15.75" customHeight="1">
      <c r="B58" s="34" t="s">
        <v>201</v>
      </c>
      <c r="C58" s="16">
        <v>2.0</v>
      </c>
      <c r="D58" s="16">
        <v>0.0</v>
      </c>
      <c r="E58" s="16">
        <v>1.0</v>
      </c>
      <c r="F58" s="16">
        <v>1.0</v>
      </c>
      <c r="G58" s="16">
        <v>0.0</v>
      </c>
      <c r="H58" s="16">
        <v>0.0</v>
      </c>
      <c r="I58" s="29">
        <f t="shared" si="7"/>
        <v>2</v>
      </c>
    </row>
    <row r="59" ht="15.75" customHeight="1">
      <c r="B59" s="34" t="s">
        <v>202</v>
      </c>
      <c r="C59" s="22">
        <v>1.0</v>
      </c>
      <c r="D59" s="22">
        <v>0.0</v>
      </c>
      <c r="E59" s="16">
        <v>1.0</v>
      </c>
      <c r="F59" s="16">
        <v>0.0</v>
      </c>
      <c r="G59" s="16">
        <v>0.0</v>
      </c>
      <c r="H59" s="16">
        <v>0.0</v>
      </c>
      <c r="I59" s="29">
        <f t="shared" si="7"/>
        <v>1</v>
      </c>
    </row>
    <row r="60" ht="15.75" customHeight="1">
      <c r="B60" s="28"/>
      <c r="I60" s="29"/>
    </row>
    <row r="61" ht="15.75" customHeight="1">
      <c r="B61" s="34" t="s">
        <v>203</v>
      </c>
      <c r="C61" s="16">
        <v>3.0</v>
      </c>
      <c r="D61" s="22">
        <v>1.0</v>
      </c>
      <c r="E61" s="16">
        <v>1.0</v>
      </c>
      <c r="F61" s="16">
        <v>1.0</v>
      </c>
      <c r="G61" s="22">
        <v>0.0</v>
      </c>
      <c r="H61" s="16">
        <v>0.0</v>
      </c>
      <c r="I61" s="29">
        <f t="shared" ref="I61:I64" si="8">SUM(D61:H61)</f>
        <v>3</v>
      </c>
    </row>
    <row r="62" ht="15.75" customHeight="1">
      <c r="B62" s="34" t="s">
        <v>204</v>
      </c>
      <c r="C62" s="22">
        <v>2.0</v>
      </c>
      <c r="D62" s="22">
        <v>0.0</v>
      </c>
      <c r="E62" s="16">
        <v>1.0</v>
      </c>
      <c r="F62" s="16">
        <v>1.0</v>
      </c>
      <c r="G62" s="16">
        <v>0.0</v>
      </c>
      <c r="H62" s="16">
        <v>0.0</v>
      </c>
      <c r="I62" s="29">
        <f t="shared" si="8"/>
        <v>2</v>
      </c>
    </row>
    <row r="63" ht="15.75" customHeight="1">
      <c r="B63" s="34" t="s">
        <v>205</v>
      </c>
      <c r="C63" s="16">
        <v>2.0</v>
      </c>
      <c r="D63" s="22">
        <v>1.0</v>
      </c>
      <c r="E63" s="16">
        <v>1.0</v>
      </c>
      <c r="F63" s="22">
        <v>0.0</v>
      </c>
      <c r="G63" s="16">
        <v>0.0</v>
      </c>
      <c r="H63" s="16">
        <v>0.0</v>
      </c>
      <c r="I63" s="29">
        <f t="shared" si="8"/>
        <v>2</v>
      </c>
    </row>
    <row r="64" ht="15.75" customHeight="1">
      <c r="B64" s="34" t="s">
        <v>206</v>
      </c>
      <c r="C64" s="22">
        <v>1.0</v>
      </c>
      <c r="D64" s="22">
        <v>0.0</v>
      </c>
      <c r="E64" s="16">
        <v>1.0</v>
      </c>
      <c r="F64" s="22">
        <v>0.0</v>
      </c>
      <c r="G64" s="16">
        <v>0.0</v>
      </c>
      <c r="H64" s="16">
        <v>0.0</v>
      </c>
      <c r="I64" s="29">
        <f t="shared" si="8"/>
        <v>1</v>
      </c>
    </row>
    <row r="65" ht="15.75" customHeight="1">
      <c r="B65" s="28"/>
      <c r="I65" s="29"/>
    </row>
    <row r="66" ht="15.75" customHeight="1">
      <c r="B66" s="34" t="s">
        <v>207</v>
      </c>
      <c r="C66" s="16">
        <v>3.0</v>
      </c>
      <c r="D66" s="22">
        <v>1.0</v>
      </c>
      <c r="E66" s="16">
        <v>1.0</v>
      </c>
      <c r="F66" s="16">
        <v>1.0</v>
      </c>
      <c r="G66" s="22">
        <v>0.0</v>
      </c>
      <c r="H66" s="16">
        <v>0.0</v>
      </c>
      <c r="I66" s="29">
        <f t="shared" ref="I66:I69" si="9">SUM(D66:H66)</f>
        <v>3</v>
      </c>
    </row>
    <row r="67" ht="15.75" customHeight="1">
      <c r="B67" s="34" t="s">
        <v>208</v>
      </c>
      <c r="C67" s="16">
        <v>2.0</v>
      </c>
      <c r="D67" s="22">
        <v>0.0</v>
      </c>
      <c r="E67" s="16">
        <v>1.0</v>
      </c>
      <c r="F67" s="22">
        <v>1.0</v>
      </c>
      <c r="G67" s="16">
        <v>0.0</v>
      </c>
      <c r="H67" s="16">
        <v>0.0</v>
      </c>
      <c r="I67" s="29">
        <f t="shared" si="9"/>
        <v>2</v>
      </c>
    </row>
    <row r="68" ht="15.75" customHeight="1">
      <c r="B68" s="34" t="s">
        <v>209</v>
      </c>
      <c r="C68" s="22">
        <v>2.0</v>
      </c>
      <c r="D68" s="22">
        <v>0.0</v>
      </c>
      <c r="E68" s="16">
        <v>1.0</v>
      </c>
      <c r="F68" s="16">
        <v>1.0</v>
      </c>
      <c r="G68" s="16">
        <v>0.0</v>
      </c>
      <c r="H68" s="16">
        <v>0.0</v>
      </c>
      <c r="I68" s="29">
        <f t="shared" si="9"/>
        <v>2</v>
      </c>
    </row>
    <row r="69" ht="15.75" customHeight="1">
      <c r="B69" s="34" t="s">
        <v>210</v>
      </c>
      <c r="C69" s="16">
        <v>1.0</v>
      </c>
      <c r="D69" s="16">
        <v>0.0</v>
      </c>
      <c r="E69" s="16">
        <v>1.0</v>
      </c>
      <c r="F69" s="16">
        <v>0.0</v>
      </c>
      <c r="G69" s="16">
        <v>0.0</v>
      </c>
      <c r="H69" s="16">
        <v>0.0</v>
      </c>
      <c r="I69" s="29">
        <f t="shared" si="9"/>
        <v>1</v>
      </c>
    </row>
    <row r="70" ht="15.75" customHeight="1">
      <c r="B70" s="28"/>
      <c r="I70" s="29"/>
    </row>
    <row r="71" ht="15.75" customHeight="1">
      <c r="B71" s="34" t="s">
        <v>211</v>
      </c>
      <c r="C71" s="22">
        <v>2.0</v>
      </c>
      <c r="D71" s="16">
        <v>0.0</v>
      </c>
      <c r="E71" s="16">
        <v>1.0</v>
      </c>
      <c r="F71" s="16">
        <v>1.0</v>
      </c>
      <c r="G71" s="22">
        <v>0.0</v>
      </c>
      <c r="H71" s="16">
        <v>0.0</v>
      </c>
      <c r="I71" s="29">
        <f t="shared" ref="I71:I74" si="10">SUM(D71:H71)</f>
        <v>2</v>
      </c>
    </row>
    <row r="72" ht="15.75" customHeight="1">
      <c r="B72" s="34" t="s">
        <v>212</v>
      </c>
      <c r="C72" s="16">
        <v>2.0</v>
      </c>
      <c r="D72" s="16">
        <v>1.0</v>
      </c>
      <c r="E72" s="16">
        <v>1.0</v>
      </c>
      <c r="F72" s="16">
        <v>0.0</v>
      </c>
      <c r="G72" s="16">
        <v>0.0</v>
      </c>
      <c r="H72" s="16">
        <v>0.0</v>
      </c>
      <c r="I72" s="29">
        <f t="shared" si="10"/>
        <v>2</v>
      </c>
    </row>
    <row r="73" ht="15.75" customHeight="1">
      <c r="B73" s="34" t="s">
        <v>213</v>
      </c>
      <c r="C73" s="16">
        <v>3.0</v>
      </c>
      <c r="D73" s="16">
        <v>1.0</v>
      </c>
      <c r="E73" s="16">
        <v>1.0</v>
      </c>
      <c r="F73" s="16">
        <v>1.0</v>
      </c>
      <c r="G73" s="16">
        <v>0.0</v>
      </c>
      <c r="H73" s="16">
        <v>0.0</v>
      </c>
      <c r="I73" s="29">
        <f t="shared" si="10"/>
        <v>3</v>
      </c>
    </row>
    <row r="74" ht="15.75" customHeight="1">
      <c r="B74" s="34" t="s">
        <v>214</v>
      </c>
      <c r="C74" s="22">
        <v>1.0</v>
      </c>
      <c r="D74" s="16">
        <v>0.0</v>
      </c>
      <c r="E74" s="16">
        <v>1.0</v>
      </c>
      <c r="F74" s="22">
        <v>0.0</v>
      </c>
      <c r="G74" s="16">
        <v>0.0</v>
      </c>
      <c r="H74" s="16">
        <v>0.0</v>
      </c>
      <c r="I74" s="35">
        <f t="shared" si="10"/>
        <v>1</v>
      </c>
    </row>
    <row r="75" ht="15.75" customHeight="1">
      <c r="B75" s="28"/>
      <c r="I75" s="36"/>
    </row>
    <row r="76" ht="15.75" customHeight="1">
      <c r="B76" s="30" t="s">
        <v>196</v>
      </c>
      <c r="C76" s="11">
        <f t="shared" ref="C76:H76" si="11">SUM(C56:C74)</f>
        <v>32</v>
      </c>
      <c r="D76" s="11">
        <f t="shared" si="11"/>
        <v>6</v>
      </c>
      <c r="E76" s="11">
        <f t="shared" si="11"/>
        <v>15</v>
      </c>
      <c r="F76" s="11">
        <f t="shared" si="11"/>
        <v>9</v>
      </c>
      <c r="G76" s="11">
        <f t="shared" si="11"/>
        <v>1</v>
      </c>
      <c r="H76" s="11">
        <f t="shared" si="11"/>
        <v>1</v>
      </c>
      <c r="I76" s="36"/>
    </row>
    <row r="77" ht="15.75" customHeight="1">
      <c r="B77" s="30" t="s">
        <v>197</v>
      </c>
      <c r="C77" s="11">
        <f>SUM(C56:C74)</f>
        <v>32</v>
      </c>
      <c r="D77" s="11">
        <f>C77-(SUM(C56:C74)/5)</f>
        <v>25.6</v>
      </c>
      <c r="E77" s="11">
        <f>D77-(SUM(C56:C74)/5)</f>
        <v>19.2</v>
      </c>
      <c r="F77" s="11">
        <f>E77-(SUM(C56:C74)/5)</f>
        <v>12.8</v>
      </c>
      <c r="G77" s="11">
        <f>F77-(SUM(C56:C74)/5)</f>
        <v>6.4</v>
      </c>
      <c r="H77" s="11">
        <f>G77-(SUM(C56:C74)/5)</f>
        <v>0</v>
      </c>
      <c r="I77" s="36"/>
    </row>
    <row r="78" ht="15.75" customHeight="1"/>
    <row r="79" ht="15.75" customHeight="1"/>
    <row r="80" ht="15.75" customHeight="1"/>
    <row r="81" ht="15.75" customHeight="1">
      <c r="C81" s="31" t="s">
        <v>198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3">
    <mergeCell ref="B31:G38"/>
    <mergeCell ref="C81:H88"/>
    <mergeCell ref="B52:I53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26" width="12.5"/>
  </cols>
  <sheetData>
    <row r="1" ht="15.75" customHeight="1">
      <c r="B1" s="11"/>
      <c r="C1" s="11" t="s">
        <v>82</v>
      </c>
      <c r="D1" s="11" t="s">
        <v>170</v>
      </c>
      <c r="E1" s="11" t="s">
        <v>171</v>
      </c>
      <c r="F1" s="11" t="s">
        <v>172</v>
      </c>
      <c r="G1" s="11" t="s">
        <v>173</v>
      </c>
      <c r="H1" s="11" t="s">
        <v>174</v>
      </c>
      <c r="I1" s="11" t="s">
        <v>175</v>
      </c>
    </row>
    <row r="2" ht="15.75" customHeight="1">
      <c r="B2" s="33" t="s">
        <v>199</v>
      </c>
      <c r="C2" s="22">
        <v>2.0</v>
      </c>
      <c r="D2" s="16">
        <v>0.0</v>
      </c>
      <c r="E2" s="22">
        <v>0.0</v>
      </c>
      <c r="F2" s="22">
        <v>0.0</v>
      </c>
      <c r="G2" s="22">
        <v>1.0</v>
      </c>
      <c r="H2" s="22">
        <v>1.0</v>
      </c>
      <c r="I2" s="27">
        <f t="shared" ref="I2:I5" si="1">SUM(D2:H2)</f>
        <v>2</v>
      </c>
    </row>
    <row r="3" ht="27.0" customHeight="1">
      <c r="B3" s="33" t="s">
        <v>200</v>
      </c>
      <c r="C3" s="16">
        <v>3.0</v>
      </c>
      <c r="D3" s="16">
        <v>1.0</v>
      </c>
      <c r="E3" s="16">
        <v>1.0</v>
      </c>
      <c r="F3" s="16">
        <v>1.0</v>
      </c>
      <c r="G3" s="16">
        <v>0.0</v>
      </c>
      <c r="H3" s="16">
        <v>0.0</v>
      </c>
      <c r="I3" s="27">
        <f t="shared" si="1"/>
        <v>3</v>
      </c>
    </row>
    <row r="4" ht="31.5" customHeight="1">
      <c r="B4" s="34" t="s">
        <v>201</v>
      </c>
      <c r="C4" s="16">
        <v>2.0</v>
      </c>
      <c r="D4" s="16">
        <v>0.0</v>
      </c>
      <c r="E4" s="16">
        <v>1.0</v>
      </c>
      <c r="F4" s="16">
        <v>1.0</v>
      </c>
      <c r="G4" s="16">
        <v>0.0</v>
      </c>
      <c r="H4" s="16">
        <v>0.0</v>
      </c>
      <c r="I4" s="29">
        <f t="shared" si="1"/>
        <v>2</v>
      </c>
    </row>
    <row r="5" ht="30.75" customHeight="1">
      <c r="B5" s="34" t="s">
        <v>202</v>
      </c>
      <c r="C5" s="22">
        <v>1.0</v>
      </c>
      <c r="D5" s="22">
        <v>0.0</v>
      </c>
      <c r="E5" s="16">
        <v>1.0</v>
      </c>
      <c r="F5" s="16">
        <v>0.0</v>
      </c>
      <c r="G5" s="16">
        <v>0.0</v>
      </c>
      <c r="H5" s="16">
        <v>0.0</v>
      </c>
      <c r="I5" s="29">
        <f t="shared" si="1"/>
        <v>1</v>
      </c>
    </row>
    <row r="6" ht="15.75" customHeight="1">
      <c r="B6" s="28"/>
      <c r="I6" s="29"/>
    </row>
    <row r="7" ht="15.75" customHeight="1">
      <c r="B7" s="34" t="s">
        <v>203</v>
      </c>
      <c r="C7" s="16">
        <v>3.0</v>
      </c>
      <c r="D7" s="22">
        <v>1.0</v>
      </c>
      <c r="E7" s="16">
        <v>1.0</v>
      </c>
      <c r="F7" s="16">
        <v>1.0</v>
      </c>
      <c r="G7" s="22">
        <v>0.0</v>
      </c>
      <c r="H7" s="16">
        <v>0.0</v>
      </c>
      <c r="I7" s="29">
        <f t="shared" ref="I7:I10" si="2">SUM(D7:H7)</f>
        <v>3</v>
      </c>
    </row>
    <row r="8" ht="15.75" customHeight="1">
      <c r="B8" s="34" t="s">
        <v>204</v>
      </c>
      <c r="C8" s="22">
        <v>2.0</v>
      </c>
      <c r="D8" s="22">
        <v>0.0</v>
      </c>
      <c r="E8" s="16">
        <v>1.0</v>
      </c>
      <c r="F8" s="16">
        <v>1.0</v>
      </c>
      <c r="G8" s="16">
        <v>0.0</v>
      </c>
      <c r="H8" s="16">
        <v>0.0</v>
      </c>
      <c r="I8" s="29">
        <f t="shared" si="2"/>
        <v>2</v>
      </c>
    </row>
    <row r="9" ht="15.75" customHeight="1">
      <c r="B9" s="34" t="s">
        <v>205</v>
      </c>
      <c r="C9" s="16">
        <v>2.0</v>
      </c>
      <c r="D9" s="22">
        <v>1.0</v>
      </c>
      <c r="E9" s="16">
        <v>1.0</v>
      </c>
      <c r="F9" s="22">
        <v>0.0</v>
      </c>
      <c r="G9" s="16">
        <v>0.0</v>
      </c>
      <c r="H9" s="16">
        <v>0.0</v>
      </c>
      <c r="I9" s="29">
        <f t="shared" si="2"/>
        <v>2</v>
      </c>
    </row>
    <row r="10" ht="15.75" customHeight="1">
      <c r="B10" s="34" t="s">
        <v>206</v>
      </c>
      <c r="C10" s="22">
        <v>1.0</v>
      </c>
      <c r="D10" s="22">
        <v>0.0</v>
      </c>
      <c r="E10" s="16">
        <v>1.0</v>
      </c>
      <c r="F10" s="22">
        <v>0.0</v>
      </c>
      <c r="G10" s="16">
        <v>0.0</v>
      </c>
      <c r="H10" s="16">
        <v>0.0</v>
      </c>
      <c r="I10" s="29">
        <f t="shared" si="2"/>
        <v>1</v>
      </c>
    </row>
    <row r="11" ht="15.75" customHeight="1">
      <c r="B11" s="28"/>
      <c r="I11" s="29"/>
    </row>
    <row r="12" ht="15.75" customHeight="1">
      <c r="B12" s="34" t="s">
        <v>207</v>
      </c>
      <c r="C12" s="16">
        <v>3.0</v>
      </c>
      <c r="D12" s="22">
        <v>1.0</v>
      </c>
      <c r="E12" s="16">
        <v>1.0</v>
      </c>
      <c r="F12" s="16">
        <v>1.0</v>
      </c>
      <c r="G12" s="22">
        <v>0.0</v>
      </c>
      <c r="H12" s="16">
        <v>0.0</v>
      </c>
      <c r="I12" s="29">
        <f t="shared" ref="I12:I15" si="3">SUM(D12:H12)</f>
        <v>3</v>
      </c>
    </row>
    <row r="13" ht="15.75" customHeight="1">
      <c r="B13" s="34" t="s">
        <v>208</v>
      </c>
      <c r="C13" s="16">
        <v>2.0</v>
      </c>
      <c r="D13" s="22">
        <v>0.0</v>
      </c>
      <c r="E13" s="16">
        <v>1.0</v>
      </c>
      <c r="F13" s="22">
        <v>1.0</v>
      </c>
      <c r="G13" s="16">
        <v>0.0</v>
      </c>
      <c r="H13" s="16">
        <v>0.0</v>
      </c>
      <c r="I13" s="29">
        <f t="shared" si="3"/>
        <v>2</v>
      </c>
    </row>
    <row r="14" ht="15.75" customHeight="1">
      <c r="B14" s="34" t="s">
        <v>209</v>
      </c>
      <c r="C14" s="22">
        <v>2.0</v>
      </c>
      <c r="D14" s="22">
        <v>0.0</v>
      </c>
      <c r="E14" s="16">
        <v>1.0</v>
      </c>
      <c r="F14" s="16">
        <v>1.0</v>
      </c>
      <c r="G14" s="16">
        <v>0.0</v>
      </c>
      <c r="H14" s="16">
        <v>0.0</v>
      </c>
      <c r="I14" s="29">
        <f t="shared" si="3"/>
        <v>2</v>
      </c>
    </row>
    <row r="15" ht="15.75" customHeight="1">
      <c r="B15" s="34" t="s">
        <v>210</v>
      </c>
      <c r="C15" s="16">
        <v>1.0</v>
      </c>
      <c r="D15" s="16">
        <v>0.0</v>
      </c>
      <c r="E15" s="16">
        <v>1.0</v>
      </c>
      <c r="F15" s="16">
        <v>0.0</v>
      </c>
      <c r="G15" s="16">
        <v>0.0</v>
      </c>
      <c r="H15" s="16">
        <v>0.0</v>
      </c>
      <c r="I15" s="29">
        <f t="shared" si="3"/>
        <v>1</v>
      </c>
    </row>
    <row r="16" ht="15.75" customHeight="1">
      <c r="B16" s="28"/>
      <c r="I16" s="29"/>
    </row>
    <row r="17" ht="15.75" customHeight="1">
      <c r="B17" s="34" t="s">
        <v>211</v>
      </c>
      <c r="C17" s="22">
        <v>2.0</v>
      </c>
      <c r="D17" s="16">
        <v>0.0</v>
      </c>
      <c r="E17" s="16">
        <v>1.0</v>
      </c>
      <c r="F17" s="16">
        <v>1.0</v>
      </c>
      <c r="G17" s="22">
        <v>0.0</v>
      </c>
      <c r="H17" s="16">
        <v>0.0</v>
      </c>
      <c r="I17" s="29">
        <f t="shared" ref="I17:I20" si="4">SUM(D17:H17)</f>
        <v>2</v>
      </c>
    </row>
    <row r="18" ht="15.75" customHeight="1">
      <c r="B18" s="34" t="s">
        <v>212</v>
      </c>
      <c r="C18" s="16">
        <v>2.0</v>
      </c>
      <c r="D18" s="16">
        <v>1.0</v>
      </c>
      <c r="E18" s="16">
        <v>1.0</v>
      </c>
      <c r="F18" s="16">
        <v>0.0</v>
      </c>
      <c r="G18" s="16">
        <v>0.0</v>
      </c>
      <c r="H18" s="16">
        <v>0.0</v>
      </c>
      <c r="I18" s="29">
        <f t="shared" si="4"/>
        <v>2</v>
      </c>
    </row>
    <row r="19" ht="15.75" customHeight="1">
      <c r="B19" s="34" t="s">
        <v>213</v>
      </c>
      <c r="C19" s="16">
        <v>3.0</v>
      </c>
      <c r="D19" s="16">
        <v>1.0</v>
      </c>
      <c r="E19" s="16">
        <v>1.0</v>
      </c>
      <c r="F19" s="16">
        <v>1.0</v>
      </c>
      <c r="G19" s="16">
        <v>0.0</v>
      </c>
      <c r="H19" s="16">
        <v>0.0</v>
      </c>
      <c r="I19" s="29">
        <f t="shared" si="4"/>
        <v>3</v>
      </c>
    </row>
    <row r="20" ht="15.75" customHeight="1">
      <c r="B20" s="34" t="s">
        <v>214</v>
      </c>
      <c r="C20" s="22">
        <v>1.0</v>
      </c>
      <c r="D20" s="16">
        <v>0.0</v>
      </c>
      <c r="E20" s="16">
        <v>1.0</v>
      </c>
      <c r="F20" s="22">
        <v>0.0</v>
      </c>
      <c r="G20" s="16">
        <v>0.0</v>
      </c>
      <c r="H20" s="16">
        <v>0.0</v>
      </c>
      <c r="I20" s="35">
        <f t="shared" si="4"/>
        <v>1</v>
      </c>
    </row>
    <row r="21" ht="15.75" customHeight="1">
      <c r="B21" s="28"/>
      <c r="I21" s="36"/>
    </row>
    <row r="22" ht="15.75" customHeight="1">
      <c r="B22" s="30" t="s">
        <v>196</v>
      </c>
      <c r="C22" s="11">
        <f t="shared" ref="C22:H22" si="5">SUM(C2:C20)</f>
        <v>32</v>
      </c>
      <c r="D22" s="11">
        <f t="shared" si="5"/>
        <v>6</v>
      </c>
      <c r="E22" s="11">
        <f t="shared" si="5"/>
        <v>15</v>
      </c>
      <c r="F22" s="11">
        <f t="shared" si="5"/>
        <v>9</v>
      </c>
      <c r="G22" s="11">
        <f t="shared" si="5"/>
        <v>1</v>
      </c>
      <c r="H22" s="11">
        <f t="shared" si="5"/>
        <v>1</v>
      </c>
      <c r="I22" s="36"/>
    </row>
    <row r="23" ht="15.75" customHeight="1">
      <c r="B23" s="30" t="s">
        <v>197</v>
      </c>
      <c r="C23" s="11">
        <f>SUM(C2:C20)</f>
        <v>32</v>
      </c>
      <c r="D23" s="11">
        <f>C23-(SUM(C2:C20)/5)</f>
        <v>25.6</v>
      </c>
      <c r="E23" s="11">
        <f>D23-(SUM(C2:C20)/5)</f>
        <v>19.2</v>
      </c>
      <c r="F23" s="11">
        <f>E23-(SUM(C2:C20)/5)</f>
        <v>12.8</v>
      </c>
      <c r="G23" s="11">
        <f>F23-(SUM(C2:C20)/5)</f>
        <v>6.4</v>
      </c>
      <c r="H23" s="11">
        <f>G23-(SUM(C2:C20)/5)</f>
        <v>0</v>
      </c>
      <c r="I23" s="36"/>
    </row>
    <row r="24" ht="15.75" customHeight="1">
      <c r="B24" s="28"/>
      <c r="C24" s="16"/>
      <c r="D24" s="16"/>
      <c r="E24" s="16"/>
      <c r="F24" s="16"/>
      <c r="G24" s="16"/>
      <c r="H24" s="16"/>
      <c r="I24" s="36"/>
    </row>
    <row r="25" ht="15.75" customHeight="1">
      <c r="B25" s="28"/>
      <c r="C25" s="16"/>
      <c r="D25" s="16"/>
      <c r="E25" s="16"/>
      <c r="F25" s="16"/>
      <c r="G25" s="16"/>
      <c r="H25" s="16"/>
      <c r="I25" s="3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B31" s="31" t="s">
        <v>198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">
    <mergeCell ref="B31:G38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2023-06-05T13:12:31Z</dcterms:created>
  <dc:creator>USUARIO</dc:creator>
</cp:coreProperties>
</file>