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bit\Desktop\ESPE 4to - 5to\ADS\27837_G4_ADS\Biblioteca de Trabajo\1. ELICITACIÓN\1.6 Backlog\"/>
    </mc:Choice>
  </mc:AlternateContent>
  <xr:revisionPtr revIDLastSave="0" documentId="13_ncr:1_{5DC0898A-49C7-4B01-AB2E-6B1DC4A8E14D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Backlog" sheetId="1" r:id="rId1"/>
    <sheet name="sprint0" sheetId="2" r:id="rId2"/>
    <sheet name="burdonchart" sheetId="3" r:id="rId3"/>
    <sheet name="burdonchar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We5dfNKh886HpkOV/PlkvBY5rTRpIl8zdq2QZ6YvHpU="/>
    </ext>
  </extLst>
</workbook>
</file>

<file path=xl/calcChain.xml><?xml version="1.0" encoding="utf-8"?>
<calcChain xmlns="http://schemas.openxmlformats.org/spreadsheetml/2006/main">
  <c r="C122" i="3" l="1"/>
  <c r="D122" i="3" s="1"/>
  <c r="E122" i="3" s="1"/>
  <c r="F122" i="3" s="1"/>
  <c r="G122" i="3" s="1"/>
  <c r="H122" i="3" s="1"/>
  <c r="H121" i="3"/>
  <c r="G121" i="3"/>
  <c r="F121" i="3"/>
  <c r="E121" i="3"/>
  <c r="D121" i="3"/>
  <c r="C121" i="3"/>
  <c r="I119" i="3"/>
  <c r="I118" i="3"/>
  <c r="I117" i="3"/>
  <c r="I116" i="3"/>
  <c r="I114" i="3"/>
  <c r="I113" i="3"/>
  <c r="I112" i="3"/>
  <c r="I111" i="3"/>
  <c r="I109" i="3"/>
  <c r="I108" i="3"/>
  <c r="I107" i="3"/>
  <c r="I106" i="3"/>
  <c r="C23" i="4"/>
  <c r="D23" i="4" s="1"/>
  <c r="E23" i="4" s="1"/>
  <c r="F23" i="4" s="1"/>
  <c r="G23" i="4" s="1"/>
  <c r="H23" i="4" s="1"/>
  <c r="H22" i="4"/>
  <c r="G22" i="4"/>
  <c r="F22" i="4"/>
  <c r="E22" i="4"/>
  <c r="D22" i="4"/>
  <c r="C22" i="4"/>
  <c r="I20" i="4"/>
  <c r="I19" i="4"/>
  <c r="I18" i="4"/>
  <c r="I17" i="4"/>
  <c r="I15" i="4"/>
  <c r="I14" i="4"/>
  <c r="I13" i="4"/>
  <c r="I12" i="4"/>
  <c r="I10" i="4"/>
  <c r="I9" i="4"/>
  <c r="I8" i="4"/>
  <c r="I7" i="4"/>
  <c r="I5" i="4"/>
  <c r="I4" i="4"/>
  <c r="I3" i="4"/>
  <c r="I2" i="4"/>
  <c r="C77" i="3"/>
  <c r="D77" i="3" s="1"/>
  <c r="E77" i="3" s="1"/>
  <c r="F77" i="3" s="1"/>
  <c r="G77" i="3" s="1"/>
  <c r="H77" i="3" s="1"/>
  <c r="H76" i="3"/>
  <c r="G76" i="3"/>
  <c r="F76" i="3"/>
  <c r="E76" i="3"/>
  <c r="D76" i="3"/>
  <c r="C76" i="3"/>
  <c r="I74" i="3"/>
  <c r="I73" i="3"/>
  <c r="I72" i="3"/>
  <c r="I71" i="3"/>
  <c r="I69" i="3"/>
  <c r="I68" i="3"/>
  <c r="I67" i="3"/>
  <c r="I66" i="3"/>
  <c r="I64" i="3"/>
  <c r="I63" i="3"/>
  <c r="I62" i="3"/>
  <c r="I61" i="3"/>
  <c r="I59" i="3"/>
  <c r="I58" i="3"/>
  <c r="I57" i="3"/>
  <c r="I56" i="3"/>
  <c r="C29" i="3"/>
  <c r="D29" i="3" s="1"/>
  <c r="E29" i="3" s="1"/>
  <c r="F29" i="3" s="1"/>
  <c r="G29" i="3" s="1"/>
  <c r="H29" i="3" s="1"/>
  <c r="C28" i="3"/>
  <c r="D28" i="3" s="1"/>
  <c r="E28" i="3" s="1"/>
  <c r="F28" i="3" s="1"/>
  <c r="G28" i="3" s="1"/>
  <c r="H28" i="3" s="1"/>
  <c r="I25" i="3"/>
  <c r="I24" i="3"/>
  <c r="I23" i="3"/>
  <c r="I22" i="3"/>
  <c r="I20" i="3"/>
  <c r="I19" i="3"/>
  <c r="I18" i="3"/>
  <c r="I17" i="3"/>
  <c r="I15" i="3"/>
  <c r="I14" i="3"/>
  <c r="I13" i="3"/>
  <c r="I12" i="3"/>
  <c r="I10" i="3"/>
  <c r="I9" i="3"/>
  <c r="I8" i="3"/>
  <c r="I7" i="3"/>
  <c r="I5" i="3"/>
  <c r="I4" i="3"/>
  <c r="I3" i="3"/>
  <c r="I2" i="3"/>
</calcChain>
</file>

<file path=xl/sharedStrings.xml><?xml version="1.0" encoding="utf-8"?>
<sst xmlns="http://schemas.openxmlformats.org/spreadsheetml/2006/main" count="614" uniqueCount="264">
  <si>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</si>
  <si>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</si>
  <si>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</si>
  <si>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</si>
  <si>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</si>
  <si>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</si>
  <si>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</si>
  <si>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</si>
  <si>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</si>
  <si>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Autenticación por rol</t>
  </si>
  <si>
    <t>Usuario del sistema (Administrador, Contadora, Jefe de Ticketera, Staff)</t>
  </si>
  <si>
    <t>Validar mis credenciales para ingresar según mi rol asignado.</t>
  </si>
  <si>
    <t>Garantizar un acceso seguro, evitar suplantación y entrar únicamente a las funciones permitidas para mi rol.</t>
  </si>
  <si>
    <t>Alta</t>
  </si>
  <si>
    <t>No iniciado</t>
  </si>
  <si>
    <t>REQ002</t>
  </si>
  <si>
    <t>Carga de datos oficiales (Excel)</t>
  </si>
  <si>
    <t>Jefe de Ticketera</t>
  </si>
  <si>
    <t>Subir un archivo Excel con la información oficial del personal.</t>
  </si>
  <si>
    <t>Contar con datos verificados para validaciones internas y evitar errores o fraude en comprobantes.</t>
  </si>
  <si>
    <t>REQ003</t>
  </si>
  <si>
    <t>Registro manual de comprobantes</t>
  </si>
  <si>
    <t>Staff</t>
  </si>
  <si>
    <t>Ingresar los datos del comprobante en un formulario digital.</t>
  </si>
  <si>
    <t>Mantener un registro estructurado y evitar la pérdida o inconsistencias de comprobantes.</t>
  </si>
  <si>
    <t>REQ004</t>
  </si>
  <si>
    <t>Adjuntar archivo de comprobante</t>
  </si>
  <si>
    <t>Subir la imagen o PDF del comprobante real.</t>
  </si>
  <si>
    <t>Respaldar la información ingresada, permitir validación visual y mejorar la trazabilidad del gasto.</t>
  </si>
  <si>
    <t>REQ005</t>
  </si>
  <si>
    <t>Validación cruzada con datos oficiales</t>
  </si>
  <si>
    <t>Contadora / Jefe de Ticketera</t>
  </si>
  <si>
    <t>Comparar los datos del comprobante con la información cargada del Excel.</t>
  </si>
  <si>
    <t>Confirmar que la factura pertenece al trabajador correcto y prevenir registros fraudulentos o erróneos.</t>
  </si>
  <si>
    <t>REQ006</t>
  </si>
  <si>
    <t>Generar reporte de comprobantes por estado</t>
  </si>
  <si>
    <t>generar reportes de comprobantes filtrados por estado (pendiente, aprobado, rechazado)</t>
  </si>
  <si>
    <t>obtener una visión clara del estado de los comprobantes y agilizar la revisión contable</t>
  </si>
  <si>
    <t>REQ007</t>
  </si>
  <si>
    <t>Detección de facturas duplicadas</t>
  </si>
  <si>
    <t>Contadora</t>
  </si>
  <si>
    <t>Que el sistema detecte automáticamente si una factura ya fue registrada previamente por el mismo trabajador</t>
  </si>
  <si>
    <t>evitar registros duplicados y pagos repetidos</t>
  </si>
  <si>
    <t>REQ008</t>
  </si>
  <si>
    <t>Consulta de historial de comprobantes</t>
  </si>
  <si>
    <t>consultar el historial de mis comprobantes enviados</t>
  </si>
  <si>
    <t>confirmar cuáles están aprobados, rechazados o pendientes</t>
  </si>
  <si>
    <t>REQ009</t>
  </si>
  <si>
    <t>Notificaciones de estado de comprobantes</t>
  </si>
  <si>
    <t>recibir notificaciones cuando mis comprobantes cambien de estado</t>
  </si>
  <si>
    <t>estar informado oportunamente sin depender del área contable</t>
  </si>
  <si>
    <t>Necesito</t>
  </si>
  <si>
    <t>así podre...</t>
  </si>
  <si>
    <t>encargado</t>
  </si>
  <si>
    <t>Prioridad</t>
  </si>
  <si>
    <t>Status</t>
  </si>
  <si>
    <t>Validación de credenciales</t>
  </si>
  <si>
    <t>Administrador / Contadora / Staff / Jefe de Ticketera</t>
  </si>
  <si>
    <t>Validar mis credenciales según mi rol asignado.</t>
  </si>
  <si>
    <t>Garantizar accesos seguros y permitir que cada usuario solo vea y use las funciones de su rol.</t>
  </si>
  <si>
    <t>David Moran</t>
  </si>
  <si>
    <t>En Proceso</t>
  </si>
  <si>
    <t>Subir un archivo Excel que contenga la información oficial del staff.</t>
  </si>
  <si>
    <t>Validar datos y evitar errores o fraude al verificar comprobantes.</t>
  </si>
  <si>
    <t>Gabriel Vivanco</t>
  </si>
  <si>
    <t>Ingresar manualmente los datos del comprobante en un formulario digital.</t>
  </si>
  <si>
    <t>Mantener un registro organizado y confiable para revisiones contables posteriores.</t>
  </si>
  <si>
    <t>Alison Miranda</t>
  </si>
  <si>
    <t>Subir una imagen o PDF del comprobante real.</t>
  </si>
  <si>
    <t>Respaldar la información ingresada y permitir validación visual para auditoría.</t>
  </si>
  <si>
    <t>Validación cruzada del comprobante</t>
  </si>
  <si>
    <t>Comparar los datos ingresados con la información oficial cargada desde el Excel.</t>
  </si>
  <si>
    <t>Confirmar que el comprobante pertenece al trabajador correcto y evitar registros fraudulentos o incorrectos.</t>
  </si>
  <si>
    <t>Samir Mideros</t>
  </si>
  <si>
    <t>Así podré...</t>
  </si>
  <si>
    <t>Notas</t>
  </si>
  <si>
    <t>REQ001 – Validación de credenciales</t>
  </si>
  <si>
    <t>Administrador / Contadora / Staff / Jefe</t>
  </si>
  <si>
    <t>Validar mis credenciales según mi rol</t>
  </si>
  <si>
    <t>Acceder solo a lo que corresponde a mi perfil</t>
  </si>
  <si>
    <t>Tareas</t>
  </si>
  <si>
    <t>Asignado</t>
  </si>
  <si>
    <t>Estimado</t>
  </si>
  <si>
    <t>REQ001-1</t>
  </si>
  <si>
    <t>Implementar login básico</t>
  </si>
  <si>
    <t>David Morán</t>
  </si>
  <si>
    <t>REQ001-2</t>
  </si>
  <si>
    <t>Configurar roles y permisos</t>
  </si>
  <si>
    <t>REQ001-3</t>
  </si>
  <si>
    <t>Restringir vistas por rol</t>
  </si>
  <si>
    <t>REQ001-4</t>
  </si>
  <si>
    <t>Crear manejo de sesión segura</t>
  </si>
  <si>
    <t>REQ002 – Carga de datos oficiales</t>
  </si>
  <si>
    <t>Cargar archivo Excel con datos oficiales</t>
  </si>
  <si>
    <t>Evitar errores y procesar datos confiables</t>
  </si>
  <si>
    <t>REQ002-1</t>
  </si>
  <si>
    <t>Subir archivo Excel</t>
  </si>
  <si>
    <t>REQ002-2</t>
  </si>
  <si>
    <t>Leer columnas del archivo</t>
  </si>
  <si>
    <t>REQ002-3</t>
  </si>
  <si>
    <t>Validar estructura del Excel</t>
  </si>
  <si>
    <t>REQ002-4</t>
  </si>
  <si>
    <t>Guardar datos en base</t>
  </si>
  <si>
    <t>REQ003 – Registro manual de comprobantes</t>
  </si>
  <si>
    <t>Registrar datos del comprobante</t>
  </si>
  <si>
    <t>Mantener control y trazabilidad</t>
  </si>
  <si>
    <t>REQ003-1</t>
  </si>
  <si>
    <t>Crear formulario de registro</t>
  </si>
  <si>
    <t>REQ003-2</t>
  </si>
  <si>
    <t>Validar datos ingresados</t>
  </si>
  <si>
    <t>REQ003-3</t>
  </si>
  <si>
    <t>Registrar comprobante en base</t>
  </si>
  <si>
    <t>REQ003-4</t>
  </si>
  <si>
    <t>Mostrar estado del comprobante</t>
  </si>
  <si>
    <t>REQ004 – Adjuntar archivo de comprobante</t>
  </si>
  <si>
    <t>Subir archivo del comprobante</t>
  </si>
  <si>
    <t>Tener evidencia visual para auditoría</t>
  </si>
  <si>
    <t>REQ004-1</t>
  </si>
  <si>
    <t>Implementar carga de archivos</t>
  </si>
  <si>
    <t>REQ004-2</t>
  </si>
  <si>
    <t>Validar tipo y tamaño de archivo</t>
  </si>
  <si>
    <t>REQ004-3</t>
  </si>
  <si>
    <t>Guardar archivo en repositorio</t>
  </si>
  <si>
    <t>REQ004-4</t>
  </si>
  <si>
    <t>Vincular archivo al comprobante</t>
  </si>
  <si>
    <t>REQ005 – Validación cruzada del comprobante</t>
  </si>
  <si>
    <t>Contadora / Jefe</t>
  </si>
  <si>
    <t>Comparar datos ingresados con datos oficiales</t>
  </si>
  <si>
    <t>Detectar inconsistencias o fraude</t>
  </si>
  <si>
    <t>REQ005-1</t>
  </si>
  <si>
    <t>Obtener datos oficiales y del comprobante</t>
  </si>
  <si>
    <t>REQ005-2</t>
  </si>
  <si>
    <t>Comparar datos clave</t>
  </si>
  <si>
    <t>REQ005-3</t>
  </si>
  <si>
    <t>Detectar inconsistencias automáticamente</t>
  </si>
  <si>
    <t>REQ005-4</t>
  </si>
  <si>
    <t>Crear pantalla de aprobación o rechazo</t>
  </si>
  <si>
    <t>SPRINT 2</t>
  </si>
  <si>
    <t>RF06-1</t>
  </si>
  <si>
    <t>Crear filtros por estado del comprobante</t>
  </si>
  <si>
    <t>RF06-2</t>
  </si>
  <si>
    <t>Generar listado de comprobantes filtrados</t>
  </si>
  <si>
    <t>RF06-3</t>
  </si>
  <si>
    <t>Calcular totales por estado</t>
  </si>
  <si>
    <t>RF06-4</t>
  </si>
  <si>
    <t>Mostrar mensaje cuando no existan resultados</t>
  </si>
  <si>
    <t>RF07-1</t>
  </si>
  <si>
    <t>Validar existencia del número de factura</t>
  </si>
  <si>
    <t>RF07-2</t>
  </si>
  <si>
    <t>Comparar factura por trabajador</t>
  </si>
  <si>
    <t>RF07-3</t>
  </si>
  <si>
    <t>Bloquear registro de factura duplicada</t>
  </si>
  <si>
    <t>RF07-4</t>
  </si>
  <si>
    <t>Mostrar mensaje de advertencia al usuario</t>
  </si>
  <si>
    <t>RF08-1</t>
  </si>
  <si>
    <t>Obtener comprobantes por cédula del usuario</t>
  </si>
  <si>
    <t>RF08-2</t>
  </si>
  <si>
    <t>Mostrar listado con estados del comprobante</t>
  </si>
  <si>
    <t>RF08-3</t>
  </si>
  <si>
    <t>Implementar vista de historial</t>
  </si>
  <si>
    <t>RF08-4</t>
  </si>
  <si>
    <t>Mostrar mensaje si no existen registros</t>
  </si>
  <si>
    <t>RF09-1</t>
  </si>
  <si>
    <t>Detectar cambio de estado del comprobante</t>
  </si>
  <si>
    <t>RF09-2</t>
  </si>
  <si>
    <t>Generar mensaje de notificación</t>
  </si>
  <si>
    <t>RF09-3</t>
  </si>
  <si>
    <t>Enviar notificación al usuario</t>
  </si>
  <si>
    <t>RF09-4</t>
  </si>
  <si>
    <t>Registrar notificación en el sistema</t>
  </si>
  <si>
    <t>Dia 5</t>
  </si>
  <si>
    <t>Dia 4</t>
  </si>
  <si>
    <t>Dia 3</t>
  </si>
  <si>
    <t>Dia 2</t>
  </si>
  <si>
    <t>Dia 1</t>
  </si>
  <si>
    <t>Total de Horas</t>
  </si>
  <si>
    <t>REQ001-1 (Frontend Login + UI)</t>
  </si>
  <si>
    <t>REQ001-2 (Backend autenticación + roles)</t>
  </si>
  <si>
    <t>REQ001-3 (Restricción de vistas por rol)</t>
  </si>
  <si>
    <t>REQ001-4 (Sesión segura + tokens)</t>
  </si>
  <si>
    <t>REQ002-1 (Subir archivo Excel)</t>
  </si>
  <si>
    <t>REQ002-2 (Leer columnas Excel)</t>
  </si>
  <si>
    <t>REQ002-3 (Validar estructura Excel)</t>
  </si>
  <si>
    <t>REQ002-4 (Guardar datos en BD)</t>
  </si>
  <si>
    <t>REQ003-1 (Formulario de comprobante)</t>
  </si>
  <si>
    <t>REQ003-2 (Validación de campos)</t>
  </si>
  <si>
    <t>REQ003-3 (Registrar comprobante BD)</t>
  </si>
  <si>
    <t>REQ003-4 (Mostrar estado del comprobante)</t>
  </si>
  <si>
    <t>REQ004-1 (Subir archivo comprobante)</t>
  </si>
  <si>
    <t>REQ004-2 (Validación de archivo)</t>
  </si>
  <si>
    <t>REQ004-3 (Guardar archivo en repositorio)</t>
  </si>
  <si>
    <t>REQ004-4 (Vincular archivo al comprobante)</t>
  </si>
  <si>
    <t>REQ005-1 (Obtener datos oficiales + comprobante)</t>
  </si>
  <si>
    <t>REQ005-2 (Comparación de datos clave)</t>
  </si>
  <si>
    <t>REQ005-3 (Detección de inconsistencias)</t>
  </si>
  <si>
    <t>REQ005-4 (Pantalla de aprobación/rechazo)</t>
  </si>
  <si>
    <t>Horas Estimadas</t>
  </si>
  <si>
    <t>Horas Estimadas
Restantes</t>
  </si>
  <si>
    <t>Durante el proceso de desarrollo del producto software,CONCLUSION DEL ESFUERZO CALCULADO</t>
  </si>
  <si>
    <t>RF06-1 (Filtros por estado del comprobante)</t>
  </si>
  <si>
    <t>RF06-2 (Listado de comprobantes filtrados)</t>
  </si>
  <si>
    <t>RF06-3 (Cálculo de totales por estado)</t>
  </si>
  <si>
    <t>RF06-4 (Mensaje sin resultados)</t>
  </si>
  <si>
    <t>RF07-1 (Validar número de factura existente)</t>
  </si>
  <si>
    <t>RF07-2 (Comparar factura por trabajador)</t>
  </si>
  <si>
    <t>RF07-3 (Bloquear registro duplicado)</t>
  </si>
  <si>
    <t>RF07-4 (Mensaje de advertencia)</t>
  </si>
  <si>
    <t>RF08-1 (Obtener comprobantes por cédula)</t>
  </si>
  <si>
    <t>RF08-2 (Listado con estados del comprobante)</t>
  </si>
  <si>
    <t>RF08-3 (Vista de historial de comprobantes)</t>
  </si>
  <si>
    <t>RF08-4 (Mensaje sin comprobantes registrados)</t>
  </si>
  <si>
    <t>RF09-1 (Detección de cambio de estado)</t>
  </si>
  <si>
    <t>RF09-2 (Generación de mensaje de notificación)</t>
  </si>
  <si>
    <t>RF09-3 (Envío de notificación al usuario)</t>
  </si>
  <si>
    <t>RF09-4 (Registro de notificación en sistema)</t>
  </si>
  <si>
    <t>Registrar pagos que no están asociados a notas de venta</t>
  </si>
  <si>
    <t>Mantener un historial financiero completo y evitar inconsistencias contables</t>
  </si>
  <si>
    <t>Registrar gastos operativos con respaldo digital</t>
  </si>
  <si>
    <t>Tener control financiero organizado y auditable</t>
  </si>
  <si>
    <t>Filtrar y buscar gastos registrados</t>
  </si>
  <si>
    <t>Facilitar auditorías y análisis financieros</t>
  </si>
  <si>
    <t>REQ010</t>
  </si>
  <si>
    <t>REQ011</t>
  </si>
  <si>
    <t>REQ012</t>
  </si>
  <si>
    <t>Pagos Excepcionales</t>
  </si>
  <si>
    <t>Gestión de Gastos</t>
  </si>
  <si>
    <t>Consulta de Gastos</t>
  </si>
  <si>
    <t>SPRINT 3</t>
  </si>
  <si>
    <t>RF10-1</t>
  </si>
  <si>
    <t>RF10-2</t>
  </si>
  <si>
    <t>RF10-3</t>
  </si>
  <si>
    <t>RF10-4</t>
  </si>
  <si>
    <t>RF11-1</t>
  </si>
  <si>
    <t>RF11-2</t>
  </si>
  <si>
    <t>RF11-3</t>
  </si>
  <si>
    <t>RF11-4</t>
  </si>
  <si>
    <t>RF12-1</t>
  </si>
  <si>
    <t>RF12-2</t>
  </si>
  <si>
    <t>RF12-3</t>
  </si>
  <si>
    <t>RF12-4</t>
  </si>
  <si>
    <t>Seleccionar staff para pago</t>
  </si>
  <si>
    <t>Ingresar monto y concepto</t>
  </si>
  <si>
    <t xml:space="preserve">Adjuntar comprobante </t>
  </si>
  <si>
    <t>Guardar pago y registrar historial</t>
  </si>
  <si>
    <t>Registrar fecha y monto del gasto</t>
  </si>
  <si>
    <t>Ingresar concepto y evento asociado</t>
  </si>
  <si>
    <t>Adjuntar comprobante digital</t>
  </si>
  <si>
    <t>Guardar y listar gasto registrado</t>
  </si>
  <si>
    <t>Filtrar gastos por fecha</t>
  </si>
  <si>
    <t>Filtrar gastos por evento/monto</t>
  </si>
  <si>
    <t>Mostrar resultados ordenados</t>
  </si>
  <si>
    <t>Mostrar mensaje sin resultados</t>
  </si>
  <si>
    <t>RF10-3 (Adjuntar comprobante )</t>
  </si>
  <si>
    <t>RF10-2 (Ingresar monto y concepto)</t>
  </si>
  <si>
    <t>RF10-1 (Seleccionar staff para pago)</t>
  </si>
  <si>
    <t>RF10-4 (Guardar pago y registrar historial)</t>
  </si>
  <si>
    <t>RF11-1 (Registrar fecha y monto del gasto)</t>
  </si>
  <si>
    <t>RF11-2 (Ingresar concepto y evento asociado)</t>
  </si>
  <si>
    <t>RF11-3 (Adjuntar comprobante digital)</t>
  </si>
  <si>
    <t>RF11-4 (Guardar y listar gasto registrado)</t>
  </si>
  <si>
    <t>RF12-1 (Filtrar gastos por fecha)</t>
  </si>
  <si>
    <t>RF12-2 (Filtrar gastos por evento/monto)</t>
  </si>
  <si>
    <t>RF12-3 (Mostrar resultados ordenados)</t>
  </si>
  <si>
    <t>RF12-4 (Mostrar mensaje sin resultados)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</si>
</sst>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FF"/>
      <name val="Arial"/>
    </font>
    <font>
      <b/>
      <sz val="18"/>
      <color theme="1"/>
      <name val="Arial"/>
      <scheme val="minor"/>
    </font>
    <font>
      <b/>
      <sz val="10"/>
      <color rgb="FF00000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2" fillId="0" borderId="1" xfId="0" applyFont="1" applyBorder="1"/>
    <xf numFmtId="0" fontId="12" fillId="0" borderId="0" xfId="0" applyFont="1"/>
    <xf numFmtId="0" fontId="4" fillId="0" borderId="0" xfId="0" applyFont="1" applyAlignment="1">
      <alignment wrapText="1"/>
    </xf>
    <xf numFmtId="0" fontId="8" fillId="3" borderId="2" xfId="0" applyFont="1" applyFill="1" applyBorder="1" applyAlignment="1">
      <alignment horizontal="right"/>
    </xf>
    <xf numFmtId="0" fontId="13" fillId="0" borderId="0" xfId="0" applyFont="1"/>
    <xf numFmtId="0" fontId="8" fillId="4" borderId="2" xfId="0" applyFont="1" applyFill="1" applyBorder="1"/>
    <xf numFmtId="0" fontId="8" fillId="3" borderId="3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4" xfId="0" applyBorder="1"/>
    <xf numFmtId="0" fontId="6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burdonchart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burdonchart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burdonchart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burdonchart!$B$28:$H$28</c:f>
              <c:numCache>
                <c:formatCode>General</c:formatCode>
                <c:ptCount val="7"/>
                <c:pt idx="0">
                  <c:v>0</c:v>
                </c:pt>
                <c:pt idx="1">
                  <c:v>51</c:v>
                </c:pt>
                <c:pt idx="2">
                  <c:v>40</c:v>
                </c:pt>
                <c:pt idx="3">
                  <c:v>20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B-43B8-88CC-925377BBA0B4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burdonchart!$B$29:$H$29</c:f>
              <c:numCache>
                <c:formatCode>General</c:formatCode>
                <c:ptCount val="7"/>
                <c:pt idx="0">
                  <c:v>0</c:v>
                </c:pt>
                <c:pt idx="1">
                  <c:v>51</c:v>
                </c:pt>
                <c:pt idx="2">
                  <c:v>40.799999999999997</c:v>
                </c:pt>
                <c:pt idx="3">
                  <c:v>30.599999999999998</c:v>
                </c:pt>
                <c:pt idx="4">
                  <c:v>20.399999999999999</c:v>
                </c:pt>
                <c:pt idx="5">
                  <c:v>10.199999999999999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B-43B8-88CC-925377BBA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747965"/>
        <c:axId val="2086340249"/>
      </c:lineChart>
      <c:catAx>
        <c:axId val="1973747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86340249"/>
        <c:crosses val="autoZero"/>
        <c:auto val="1"/>
        <c:lblAlgn val="ctr"/>
        <c:lblOffset val="100"/>
        <c:noMultiLvlLbl val="1"/>
      </c:catAx>
      <c:valAx>
        <c:axId val="2086340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7374796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burdonchart2!$B$22:$H$22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6</c:v>
                </c:pt>
                <c:pt idx="3">
                  <c:v>15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B-4693-A185-796048F469F0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burdonchart2!$B$23:$H$23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25.6</c:v>
                </c:pt>
                <c:pt idx="3">
                  <c:v>19.200000000000003</c:v>
                </c:pt>
                <c:pt idx="4">
                  <c:v>12.800000000000002</c:v>
                </c:pt>
                <c:pt idx="5">
                  <c:v>6.4000000000000021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B-4693-A185-796048F4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754147"/>
        <c:axId val="1068943176"/>
      </c:lineChart>
      <c:catAx>
        <c:axId val="2066754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68943176"/>
        <c:crosses val="autoZero"/>
        <c:auto val="1"/>
        <c:lblAlgn val="ctr"/>
        <c:lblOffset val="100"/>
        <c:noMultiLvlLbl val="1"/>
      </c:catAx>
      <c:valAx>
        <c:axId val="1068943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667541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burdonchart!$B$121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burdonchart!$C$121:$H$121</c:f>
              <c:numCache>
                <c:formatCode>General</c:formatCode>
                <c:ptCount val="6"/>
                <c:pt idx="0">
                  <c:v>18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B-49E1-AEF7-139B3D17EB64}"/>
            </c:ext>
          </c:extLst>
        </c:ser>
        <c:ser>
          <c:idx val="1"/>
          <c:order val="1"/>
          <c:tx>
            <c:strRef>
              <c:f>burdonchart!$B$122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burdonchart!$C$122:$H$122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10.8</c:v>
                </c:pt>
                <c:pt idx="3">
                  <c:v>7.2000000000000011</c:v>
                </c:pt>
                <c:pt idx="4">
                  <c:v>3.600000000000001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B-49E1-AEF7-139B3D17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214367"/>
        <c:axId val="1758237247"/>
      </c:lineChart>
      <c:catAx>
        <c:axId val="1758214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8237247"/>
        <c:crosses val="autoZero"/>
        <c:auto val="1"/>
        <c:lblAlgn val="ctr"/>
        <c:lblOffset val="100"/>
        <c:noMultiLvlLbl val="0"/>
      </c:catAx>
      <c:valAx>
        <c:axId val="17582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821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burdonchart2!$B$22:$H$22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6</c:v>
                </c:pt>
                <c:pt idx="3">
                  <c:v>15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D-4E0E-BC46-2D42AF14A952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burdonchart2!$B$23:$H$23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25.6</c:v>
                </c:pt>
                <c:pt idx="3">
                  <c:v>19.200000000000003</c:v>
                </c:pt>
                <c:pt idx="4">
                  <c:v>12.800000000000002</c:v>
                </c:pt>
                <c:pt idx="5">
                  <c:v>6.4000000000000021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D-4E0E-BC46-2D42AF14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901563"/>
        <c:axId val="609199025"/>
      </c:lineChart>
      <c:catAx>
        <c:axId val="619901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09199025"/>
        <c:crosses val="autoZero"/>
        <c:auto val="1"/>
        <c:lblAlgn val="ctr"/>
        <c:lblOffset val="100"/>
        <c:noMultiLvlLbl val="1"/>
      </c:catAx>
      <c:valAx>
        <c:axId val="609199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1990156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32</xdr:row>
      <xdr:rowOff>85725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561975</xdr:colOff>
      <xdr:row>77</xdr:row>
      <xdr:rowOff>57150</xdr:rowOff>
    </xdr:from>
    <xdr:ext cx="5715000" cy="3533775"/>
    <xdr:graphicFrame macro="">
      <xdr:nvGraphicFramePr>
        <xdr:cNvPr id="127409203" name="Chart 2" title="Gráfico">
          <a:extLst>
            <a:ext uri="{FF2B5EF4-FFF2-40B4-BE49-F238E27FC236}">
              <a16:creationId xmlns:a16="http://schemas.microsoft.com/office/drawing/2014/main" id="{00000000-0008-0000-0200-0000331C9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9</xdr:col>
      <xdr:colOff>531962</xdr:colOff>
      <xdr:row>106</xdr:row>
      <xdr:rowOff>15816</xdr:rowOff>
    </xdr:from>
    <xdr:to>
      <xdr:col>15</xdr:col>
      <xdr:colOff>14377</xdr:colOff>
      <xdr:row>115</xdr:row>
      <xdr:rowOff>41695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2FA100-2FC2-478D-BC31-0DF795930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32</xdr:row>
      <xdr:rowOff>85725</xdr:rowOff>
    </xdr:from>
    <xdr:ext cx="5715000" cy="3533775"/>
    <xdr:graphicFrame macro="">
      <xdr:nvGraphicFramePr>
        <xdr:cNvPr id="1932394822" name="Chart 3" title="Gráfico">
          <a:extLst>
            <a:ext uri="{FF2B5EF4-FFF2-40B4-BE49-F238E27FC236}">
              <a16:creationId xmlns:a16="http://schemas.microsoft.com/office/drawing/2014/main" id="{00000000-0008-0000-0300-000046012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2:I3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56:I57" headerRowCount="0">
  <tableColumns count="1">
    <tableColumn id="1" xr3:uid="{00000000-0010-0000-0100-000001000000}" name="Column1"/>
  </tableColumns>
  <tableStyleInfo name="burdonchart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BF5CD2-A05A-4570-8EB0-1CE8561026F4}" name="Table_25" displayName="Table_25" ref="I106:I107" headerRowCount="0">
  <tableColumns count="1">
    <tableColumn id="1" xr3:uid="{39B4058F-60F5-4DB8-8A7E-B3C947952843}" name="Column1">
      <calculatedColumnFormula>SUM(D106:H106)</calculatedColumnFormula>
    </tableColumn>
  </tableColumns>
  <tableStyleInfo name="burdonchart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2:I3" headerRowCount="0">
  <tableColumns count="1">
    <tableColumn id="1" xr3:uid="{00000000-0010-0000-0200-000001000000}" name="Column1"/>
  </tableColumns>
  <tableStyleInfo name="burdonchart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C1" workbookViewId="0">
      <selection activeCell="D16" sqref="D16"/>
    </sheetView>
  </sheetViews>
  <sheetFormatPr baseColWidth="10" defaultColWidth="12.7109375" defaultRowHeight="15" customHeight="1" x14ac:dyDescent="0.2"/>
  <cols>
    <col min="1" max="1" width="12.42578125" customWidth="1"/>
    <col min="2" max="2" width="30.28515625" customWidth="1"/>
    <col min="3" max="3" width="36" customWidth="1"/>
    <col min="4" max="4" width="41.42578125" customWidth="1"/>
    <col min="5" max="5" width="54.42578125" customWidth="1"/>
    <col min="6" max="26" width="12.4257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x14ac:dyDescent="0.2">
      <c r="A3" s="3" t="s">
        <v>15</v>
      </c>
      <c r="B3" s="4" t="s">
        <v>16</v>
      </c>
      <c r="C3" s="4" t="s">
        <v>17</v>
      </c>
      <c r="D3" s="6" t="s">
        <v>18</v>
      </c>
      <c r="E3" s="4" t="s">
        <v>19</v>
      </c>
      <c r="F3" s="4"/>
      <c r="G3" s="4" t="s">
        <v>13</v>
      </c>
      <c r="H3" s="4" t="s">
        <v>14</v>
      </c>
    </row>
    <row r="4" spans="1:26" ht="25.5" x14ac:dyDescent="0.2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4" t="s">
        <v>13</v>
      </c>
      <c r="H4" s="4" t="s">
        <v>14</v>
      </c>
    </row>
    <row r="5" spans="1:26" ht="25.5" x14ac:dyDescent="0.2">
      <c r="A5" s="3" t="s">
        <v>25</v>
      </c>
      <c r="B5" s="4" t="s">
        <v>26</v>
      </c>
      <c r="C5" s="4" t="s">
        <v>22</v>
      </c>
      <c r="D5" s="6" t="s">
        <v>27</v>
      </c>
      <c r="E5" s="4" t="s">
        <v>28</v>
      </c>
      <c r="F5" s="4"/>
      <c r="G5" s="4" t="s">
        <v>13</v>
      </c>
      <c r="H5" s="4" t="s">
        <v>14</v>
      </c>
    </row>
    <row r="6" spans="1:26" ht="25.5" x14ac:dyDescent="0.2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/>
      <c r="G6" s="4" t="s">
        <v>13</v>
      </c>
      <c r="H6" s="4" t="s">
        <v>14</v>
      </c>
    </row>
    <row r="7" spans="1:26" ht="25.5" x14ac:dyDescent="0.2">
      <c r="A7" s="3" t="s">
        <v>34</v>
      </c>
      <c r="B7" s="4" t="s">
        <v>35</v>
      </c>
      <c r="C7" s="4" t="s">
        <v>31</v>
      </c>
      <c r="D7" s="4" t="s">
        <v>36</v>
      </c>
      <c r="E7" s="4" t="s">
        <v>37</v>
      </c>
      <c r="F7" s="4"/>
      <c r="G7" s="4" t="s">
        <v>13</v>
      </c>
      <c r="H7" s="4" t="s">
        <v>14</v>
      </c>
    </row>
    <row r="8" spans="1:26" ht="38.25" x14ac:dyDescent="0.2">
      <c r="A8" s="3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/>
      <c r="G8" s="4" t="s">
        <v>13</v>
      </c>
      <c r="H8" s="4" t="s">
        <v>14</v>
      </c>
    </row>
    <row r="9" spans="1:26" ht="25.5" x14ac:dyDescent="0.2">
      <c r="A9" s="3" t="s">
        <v>43</v>
      </c>
      <c r="B9" s="4" t="s">
        <v>44</v>
      </c>
      <c r="C9" s="4" t="s">
        <v>22</v>
      </c>
      <c r="D9" s="4" t="s">
        <v>45</v>
      </c>
      <c r="E9" s="4" t="s">
        <v>46</v>
      </c>
      <c r="F9" s="4"/>
      <c r="G9" s="4" t="s">
        <v>13</v>
      </c>
      <c r="H9" s="4" t="s">
        <v>14</v>
      </c>
    </row>
    <row r="10" spans="1:26" ht="25.5" x14ac:dyDescent="0.2">
      <c r="A10" s="3" t="s">
        <v>47</v>
      </c>
      <c r="B10" s="4" t="s">
        <v>48</v>
      </c>
      <c r="C10" s="4" t="s">
        <v>22</v>
      </c>
      <c r="D10" s="4" t="s">
        <v>49</v>
      </c>
      <c r="E10" s="4" t="s">
        <v>50</v>
      </c>
      <c r="F10" s="4"/>
      <c r="G10" s="4" t="s">
        <v>13</v>
      </c>
      <c r="H10" s="4" t="s">
        <v>14</v>
      </c>
    </row>
    <row r="11" spans="1:26" ht="25.5" x14ac:dyDescent="0.2">
      <c r="A11" s="3" t="s">
        <v>221</v>
      </c>
      <c r="B11" s="4" t="s">
        <v>224</v>
      </c>
      <c r="C11" s="4" t="s">
        <v>40</v>
      </c>
      <c r="D11" s="4" t="s">
        <v>215</v>
      </c>
      <c r="E11" s="4" t="s">
        <v>216</v>
      </c>
      <c r="F11" s="4"/>
      <c r="G11" s="4" t="s">
        <v>13</v>
      </c>
      <c r="H11" s="4" t="s">
        <v>14</v>
      </c>
    </row>
    <row r="12" spans="1:26" ht="12.75" x14ac:dyDescent="0.2">
      <c r="A12" s="3" t="s">
        <v>222</v>
      </c>
      <c r="B12" s="4" t="s">
        <v>225</v>
      </c>
      <c r="C12" s="4" t="s">
        <v>31</v>
      </c>
      <c r="D12" s="4" t="s">
        <v>217</v>
      </c>
      <c r="E12" s="4" t="s">
        <v>218</v>
      </c>
      <c r="F12" s="4"/>
      <c r="G12" s="4" t="s">
        <v>13</v>
      </c>
      <c r="H12" s="4" t="s">
        <v>14</v>
      </c>
    </row>
    <row r="13" spans="1:26" ht="15.75" customHeight="1" x14ac:dyDescent="0.2">
      <c r="A13" s="3" t="s">
        <v>223</v>
      </c>
      <c r="B13" s="4" t="s">
        <v>226</v>
      </c>
      <c r="C13" s="4" t="s">
        <v>31</v>
      </c>
      <c r="D13" s="4" t="s">
        <v>219</v>
      </c>
      <c r="E13" s="4" t="s">
        <v>220</v>
      </c>
      <c r="F13" s="4"/>
      <c r="G13" s="4" t="s">
        <v>13</v>
      </c>
      <c r="H13" s="4" t="s">
        <v>14</v>
      </c>
    </row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0"/>
  <sheetViews>
    <sheetView tabSelected="1" topLeftCell="A94" workbookViewId="0">
      <selection activeCell="D113" sqref="D113"/>
    </sheetView>
  </sheetViews>
  <sheetFormatPr baseColWidth="10" defaultColWidth="12.7109375" defaultRowHeight="15" customHeight="1" x14ac:dyDescent="0.2"/>
  <cols>
    <col min="1" max="2" width="12.42578125" customWidth="1"/>
    <col min="3" max="4" width="18.85546875" customWidth="1"/>
    <col min="5" max="5" width="25.42578125" customWidth="1"/>
    <col min="6" max="6" width="30.42578125" customWidth="1"/>
    <col min="7" max="27" width="12.42578125" customWidth="1"/>
  </cols>
  <sheetData>
    <row r="1" spans="1:27" ht="15.75" customHeight="1" x14ac:dyDescent="0.2"/>
    <row r="2" spans="1:27" ht="15.75" customHeight="1" x14ac:dyDescent="0.2"/>
    <row r="3" spans="1:27" ht="15.75" customHeight="1" x14ac:dyDescent="0.2">
      <c r="B3" s="7" t="s">
        <v>0</v>
      </c>
      <c r="C3" s="7" t="s">
        <v>1</v>
      </c>
      <c r="D3" s="7" t="s">
        <v>2</v>
      </c>
      <c r="E3" s="7" t="s">
        <v>51</v>
      </c>
      <c r="F3" s="7" t="s">
        <v>52</v>
      </c>
      <c r="G3" s="7" t="s">
        <v>53</v>
      </c>
      <c r="H3" s="7" t="s">
        <v>5</v>
      </c>
      <c r="I3" s="7" t="s">
        <v>54</v>
      </c>
      <c r="J3" s="7" t="s">
        <v>55</v>
      </c>
    </row>
    <row r="4" spans="1:27" ht="40.5" customHeight="1" x14ac:dyDescent="0.2">
      <c r="A4" s="5"/>
      <c r="B4" s="3" t="s">
        <v>8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/>
      <c r="I4" s="8" t="s">
        <v>13</v>
      </c>
      <c r="J4" s="8" t="s">
        <v>61</v>
      </c>
      <c r="K4" s="5">
        <v>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38.25" x14ac:dyDescent="0.2">
      <c r="A5" s="5"/>
      <c r="B5" s="3" t="s">
        <v>15</v>
      </c>
      <c r="C5" s="4" t="s">
        <v>16</v>
      </c>
      <c r="D5" s="4" t="s">
        <v>17</v>
      </c>
      <c r="E5" s="6" t="s">
        <v>62</v>
      </c>
      <c r="F5" s="4" t="s">
        <v>63</v>
      </c>
      <c r="G5" s="4" t="s">
        <v>64</v>
      </c>
      <c r="H5" s="4"/>
      <c r="I5" s="8" t="s">
        <v>13</v>
      </c>
      <c r="J5" s="8" t="s">
        <v>61</v>
      </c>
      <c r="K5" s="5">
        <v>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40.5" customHeight="1" x14ac:dyDescent="0.2">
      <c r="A6" s="5"/>
      <c r="B6" s="9" t="s">
        <v>20</v>
      </c>
      <c r="C6" s="4" t="s">
        <v>21</v>
      </c>
      <c r="D6" s="4" t="s">
        <v>22</v>
      </c>
      <c r="E6" s="4" t="s">
        <v>65</v>
      </c>
      <c r="F6" s="4" t="s">
        <v>66</v>
      </c>
      <c r="G6" s="4" t="s">
        <v>67</v>
      </c>
      <c r="H6" s="4"/>
      <c r="I6" s="8" t="s">
        <v>13</v>
      </c>
      <c r="J6" s="8" t="s">
        <v>61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7" customHeight="1" x14ac:dyDescent="0.2">
      <c r="A7" s="5"/>
      <c r="B7" s="9" t="s">
        <v>25</v>
      </c>
      <c r="C7" s="4" t="s">
        <v>26</v>
      </c>
      <c r="D7" s="4" t="s">
        <v>22</v>
      </c>
      <c r="E7" s="4" t="s">
        <v>68</v>
      </c>
      <c r="F7" s="4" t="s">
        <v>69</v>
      </c>
      <c r="G7" s="4" t="s">
        <v>67</v>
      </c>
      <c r="H7" s="4"/>
      <c r="I7" s="8" t="s">
        <v>13</v>
      </c>
      <c r="J7" s="8" t="s">
        <v>61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48" customHeight="1" x14ac:dyDescent="0.2">
      <c r="A8" s="5"/>
      <c r="B8" s="9" t="s">
        <v>29</v>
      </c>
      <c r="C8" s="4" t="s">
        <v>70</v>
      </c>
      <c r="D8" s="4" t="s">
        <v>31</v>
      </c>
      <c r="E8" s="4" t="s">
        <v>71</v>
      </c>
      <c r="F8" s="4" t="s">
        <v>72</v>
      </c>
      <c r="G8" s="4" t="s">
        <v>73</v>
      </c>
      <c r="H8" s="4"/>
      <c r="I8" s="8" t="s">
        <v>13</v>
      </c>
      <c r="J8" s="8" t="s">
        <v>61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2">
      <c r="B9" s="7"/>
      <c r="C9" s="7"/>
      <c r="D9" s="7"/>
      <c r="E9" s="7"/>
      <c r="F9" s="7"/>
      <c r="G9" s="7"/>
      <c r="H9" s="7"/>
      <c r="I9" s="7"/>
      <c r="J9" s="7">
        <v>5</v>
      </c>
    </row>
    <row r="10" spans="1:27" ht="15.75" customHeight="1" x14ac:dyDescent="0.2"/>
    <row r="11" spans="1:27" ht="15.75" customHeight="1" x14ac:dyDescent="0.2">
      <c r="B11" s="10"/>
      <c r="C11" s="10"/>
      <c r="D11" s="11"/>
      <c r="E11" s="11"/>
      <c r="F11" s="11"/>
      <c r="G11" s="10"/>
      <c r="H11" s="10"/>
      <c r="I11" s="11"/>
      <c r="J11" s="12"/>
    </row>
    <row r="12" spans="1:27" ht="15.75" customHeight="1" x14ac:dyDescent="0.2">
      <c r="B12" s="7" t="s">
        <v>0</v>
      </c>
      <c r="C12" s="7" t="s">
        <v>1</v>
      </c>
      <c r="D12" s="7" t="s">
        <v>2</v>
      </c>
      <c r="E12" s="7" t="s">
        <v>51</v>
      </c>
      <c r="F12" s="7" t="s">
        <v>74</v>
      </c>
      <c r="G12" s="7" t="s">
        <v>75</v>
      </c>
      <c r="H12" s="7" t="s">
        <v>54</v>
      </c>
      <c r="I12" s="7" t="s">
        <v>55</v>
      </c>
      <c r="J12" s="7" t="s">
        <v>55</v>
      </c>
    </row>
    <row r="13" spans="1:27" ht="38.25" x14ac:dyDescent="0.2">
      <c r="B13" s="13" t="s">
        <v>8</v>
      </c>
      <c r="C13" s="13" t="s">
        <v>76</v>
      </c>
      <c r="D13" s="13" t="s">
        <v>77</v>
      </c>
      <c r="E13" s="13" t="s">
        <v>78</v>
      </c>
      <c r="F13" s="13" t="s">
        <v>79</v>
      </c>
      <c r="G13" s="13"/>
      <c r="H13" s="14" t="s">
        <v>13</v>
      </c>
      <c r="I13" s="14" t="s">
        <v>61</v>
      </c>
      <c r="J13" s="14" t="s">
        <v>61</v>
      </c>
    </row>
    <row r="14" spans="1:27" ht="15.75" customHeight="1" x14ac:dyDescent="0.2">
      <c r="C14" s="15" t="s">
        <v>80</v>
      </c>
      <c r="G14" s="15" t="s">
        <v>81</v>
      </c>
      <c r="I14" s="15" t="s">
        <v>82</v>
      </c>
    </row>
    <row r="15" spans="1:27" ht="15.75" customHeight="1" x14ac:dyDescent="0.2">
      <c r="B15" s="15" t="s">
        <v>83</v>
      </c>
      <c r="C15" s="15" t="s">
        <v>84</v>
      </c>
      <c r="G15" s="15" t="s">
        <v>85</v>
      </c>
      <c r="I15" s="15">
        <v>3</v>
      </c>
    </row>
    <row r="16" spans="1:27" ht="15.75" customHeight="1" x14ac:dyDescent="0.2">
      <c r="B16" s="15" t="s">
        <v>86</v>
      </c>
      <c r="C16" s="15" t="s">
        <v>87</v>
      </c>
      <c r="G16" s="15" t="s">
        <v>85</v>
      </c>
      <c r="I16" s="15">
        <v>3</v>
      </c>
    </row>
    <row r="17" spans="2:9" ht="15.75" customHeight="1" x14ac:dyDescent="0.2">
      <c r="B17" s="15" t="s">
        <v>88</v>
      </c>
      <c r="C17" s="15" t="s">
        <v>89</v>
      </c>
      <c r="G17" s="15" t="s">
        <v>85</v>
      </c>
      <c r="I17" s="15">
        <v>2</v>
      </c>
    </row>
    <row r="18" spans="2:9" ht="15.75" customHeight="1" x14ac:dyDescent="0.2">
      <c r="B18" s="15" t="s">
        <v>90</v>
      </c>
      <c r="C18" s="15" t="s">
        <v>91</v>
      </c>
      <c r="G18" s="15" t="s">
        <v>85</v>
      </c>
      <c r="I18" s="15">
        <v>2</v>
      </c>
    </row>
    <row r="19" spans="2:9" ht="12.75" x14ac:dyDescent="0.2">
      <c r="B19" s="16"/>
      <c r="C19" s="16"/>
      <c r="D19" s="16"/>
      <c r="E19" s="16"/>
      <c r="F19" s="16"/>
      <c r="G19" s="16"/>
    </row>
    <row r="20" spans="2:9" ht="15.75" customHeight="1" x14ac:dyDescent="0.2">
      <c r="B20" s="14" t="s">
        <v>15</v>
      </c>
      <c r="C20" s="14" t="s">
        <v>92</v>
      </c>
      <c r="D20" s="14" t="s">
        <v>17</v>
      </c>
      <c r="E20" s="14" t="s">
        <v>93</v>
      </c>
      <c r="F20" s="14" t="s">
        <v>94</v>
      </c>
      <c r="G20" s="14"/>
      <c r="H20" s="14" t="s">
        <v>13</v>
      </c>
      <c r="I20" s="14" t="s">
        <v>61</v>
      </c>
    </row>
    <row r="21" spans="2:9" ht="15.75" customHeight="1" x14ac:dyDescent="0.2">
      <c r="C21" s="15" t="s">
        <v>80</v>
      </c>
      <c r="G21" s="15" t="s">
        <v>81</v>
      </c>
      <c r="I21" s="15" t="s">
        <v>82</v>
      </c>
    </row>
    <row r="22" spans="2:9" ht="15.75" customHeight="1" x14ac:dyDescent="0.2">
      <c r="B22" s="15" t="s">
        <v>95</v>
      </c>
      <c r="C22" s="15" t="s">
        <v>96</v>
      </c>
      <c r="G22" s="15" t="s">
        <v>64</v>
      </c>
      <c r="I22" s="15">
        <v>3</v>
      </c>
    </row>
    <row r="23" spans="2:9" ht="15.75" customHeight="1" x14ac:dyDescent="0.2">
      <c r="B23" s="15" t="s">
        <v>97</v>
      </c>
      <c r="C23" s="15" t="s">
        <v>98</v>
      </c>
      <c r="G23" s="15" t="s">
        <v>64</v>
      </c>
      <c r="I23" s="15">
        <v>3</v>
      </c>
    </row>
    <row r="24" spans="2:9" ht="25.5" x14ac:dyDescent="0.2">
      <c r="B24" s="16" t="s">
        <v>99</v>
      </c>
      <c r="C24" s="16" t="s">
        <v>100</v>
      </c>
      <c r="D24" s="16"/>
      <c r="E24" s="16"/>
      <c r="F24" s="16"/>
      <c r="G24" s="16" t="s">
        <v>64</v>
      </c>
      <c r="H24" s="16"/>
      <c r="I24" s="16">
        <v>2</v>
      </c>
    </row>
    <row r="25" spans="2:9" ht="15.75" customHeight="1" x14ac:dyDescent="0.2">
      <c r="B25" s="15" t="s">
        <v>101</v>
      </c>
      <c r="C25" s="15" t="s">
        <v>102</v>
      </c>
      <c r="G25" s="15" t="s">
        <v>64</v>
      </c>
      <c r="I25" s="15">
        <v>3</v>
      </c>
    </row>
    <row r="26" spans="2:9" ht="15.75" customHeight="1" x14ac:dyDescent="0.2"/>
    <row r="27" spans="2:9" ht="15.75" customHeight="1" x14ac:dyDescent="0.2">
      <c r="B27" s="14" t="s">
        <v>20</v>
      </c>
      <c r="C27" s="14" t="s">
        <v>103</v>
      </c>
      <c r="D27" s="14" t="s">
        <v>22</v>
      </c>
      <c r="E27" s="14" t="s">
        <v>104</v>
      </c>
      <c r="F27" s="14" t="s">
        <v>105</v>
      </c>
      <c r="G27" s="14"/>
      <c r="H27" s="14" t="s">
        <v>13</v>
      </c>
      <c r="I27" s="14" t="s">
        <v>61</v>
      </c>
    </row>
    <row r="28" spans="2:9" ht="12.75" x14ac:dyDescent="0.2">
      <c r="B28" s="16"/>
      <c r="C28" s="16" t="s">
        <v>80</v>
      </c>
      <c r="D28" s="16"/>
      <c r="E28" s="16"/>
      <c r="F28" s="16"/>
      <c r="G28" s="16" t="s">
        <v>81</v>
      </c>
      <c r="I28" s="15" t="s">
        <v>82</v>
      </c>
    </row>
    <row r="29" spans="2:9" ht="12.75" x14ac:dyDescent="0.2">
      <c r="B29" s="15" t="s">
        <v>106</v>
      </c>
      <c r="C29" s="15" t="s">
        <v>107</v>
      </c>
      <c r="G29" s="15" t="s">
        <v>67</v>
      </c>
      <c r="I29" s="15">
        <v>3</v>
      </c>
    </row>
    <row r="30" spans="2:9" ht="15.75" customHeight="1" x14ac:dyDescent="0.2">
      <c r="B30" s="15" t="s">
        <v>108</v>
      </c>
      <c r="C30" s="15" t="s">
        <v>109</v>
      </c>
      <c r="G30" s="15" t="s">
        <v>67</v>
      </c>
      <c r="I30" s="15">
        <v>2</v>
      </c>
    </row>
    <row r="31" spans="2:9" ht="15.75" customHeight="1" x14ac:dyDescent="0.2">
      <c r="B31" s="15" t="s">
        <v>110</v>
      </c>
      <c r="C31" s="15" t="s">
        <v>111</v>
      </c>
      <c r="G31" s="15" t="s">
        <v>67</v>
      </c>
      <c r="I31" s="15">
        <v>3</v>
      </c>
    </row>
    <row r="32" spans="2:9" ht="15.75" customHeight="1" x14ac:dyDescent="0.2">
      <c r="B32" s="15" t="s">
        <v>112</v>
      </c>
      <c r="C32" s="15" t="s">
        <v>113</v>
      </c>
      <c r="G32" s="15" t="s">
        <v>67</v>
      </c>
      <c r="I32" s="15">
        <v>1</v>
      </c>
    </row>
    <row r="33" spans="2:9" ht="15.75" customHeight="1" x14ac:dyDescent="0.2">
      <c r="B33" s="16"/>
      <c r="C33" s="16"/>
      <c r="D33" s="16"/>
      <c r="E33" s="16"/>
      <c r="F33" s="16"/>
      <c r="G33" s="16"/>
    </row>
    <row r="34" spans="2:9" ht="15.75" customHeight="1" x14ac:dyDescent="0.2">
      <c r="B34" s="14" t="s">
        <v>25</v>
      </c>
      <c r="C34" s="14" t="s">
        <v>114</v>
      </c>
      <c r="D34" s="14" t="s">
        <v>22</v>
      </c>
      <c r="E34" s="14" t="s">
        <v>115</v>
      </c>
      <c r="F34" s="14" t="s">
        <v>116</v>
      </c>
      <c r="G34" s="14"/>
      <c r="H34" s="14" t="s">
        <v>13</v>
      </c>
      <c r="I34" s="14" t="s">
        <v>61</v>
      </c>
    </row>
    <row r="35" spans="2:9" ht="15.75" customHeight="1" x14ac:dyDescent="0.2">
      <c r="C35" s="15" t="s">
        <v>80</v>
      </c>
      <c r="G35" s="15" t="s">
        <v>81</v>
      </c>
      <c r="I35" s="15" t="s">
        <v>82</v>
      </c>
    </row>
    <row r="36" spans="2:9" ht="15.75" customHeight="1" x14ac:dyDescent="0.2">
      <c r="B36" s="15" t="s">
        <v>117</v>
      </c>
      <c r="C36" s="15" t="s">
        <v>118</v>
      </c>
      <c r="G36" s="15" t="s">
        <v>67</v>
      </c>
      <c r="I36" s="15">
        <v>3</v>
      </c>
    </row>
    <row r="37" spans="2:9" ht="15.75" customHeight="1" x14ac:dyDescent="0.2">
      <c r="B37" s="15" t="s">
        <v>119</v>
      </c>
      <c r="C37" s="15" t="s">
        <v>120</v>
      </c>
      <c r="G37" s="15" t="s">
        <v>67</v>
      </c>
      <c r="I37" s="15">
        <v>2</v>
      </c>
    </row>
    <row r="38" spans="2:9" ht="15.75" customHeight="1" x14ac:dyDescent="0.2">
      <c r="B38" s="15" t="s">
        <v>121</v>
      </c>
      <c r="C38" s="15" t="s">
        <v>122</v>
      </c>
      <c r="G38" s="15" t="s">
        <v>67</v>
      </c>
      <c r="I38" s="15">
        <v>3</v>
      </c>
    </row>
    <row r="39" spans="2:9" ht="15.75" customHeight="1" x14ac:dyDescent="0.2">
      <c r="B39" s="15" t="s">
        <v>123</v>
      </c>
      <c r="C39" s="15" t="s">
        <v>124</v>
      </c>
      <c r="G39" s="15" t="s">
        <v>67</v>
      </c>
      <c r="I39" s="15">
        <v>2</v>
      </c>
    </row>
    <row r="40" spans="2:9" ht="15.75" customHeight="1" x14ac:dyDescent="0.2"/>
    <row r="41" spans="2:9" ht="15.75" customHeight="1" x14ac:dyDescent="0.2">
      <c r="B41" s="14" t="s">
        <v>29</v>
      </c>
      <c r="C41" s="14" t="s">
        <v>125</v>
      </c>
      <c r="D41" s="14" t="s">
        <v>126</v>
      </c>
      <c r="E41" s="14" t="s">
        <v>127</v>
      </c>
      <c r="F41" s="14" t="s">
        <v>128</v>
      </c>
      <c r="G41" s="14"/>
      <c r="H41" s="14" t="s">
        <v>13</v>
      </c>
      <c r="I41" s="14" t="s">
        <v>61</v>
      </c>
    </row>
    <row r="42" spans="2:9" ht="15.75" customHeight="1" x14ac:dyDescent="0.2">
      <c r="C42" s="15" t="s">
        <v>80</v>
      </c>
      <c r="G42" s="15" t="s">
        <v>81</v>
      </c>
      <c r="I42" s="15" t="s">
        <v>82</v>
      </c>
    </row>
    <row r="43" spans="2:9" ht="15.75" customHeight="1" x14ac:dyDescent="0.2">
      <c r="B43" s="15" t="s">
        <v>129</v>
      </c>
      <c r="C43" s="15" t="s">
        <v>130</v>
      </c>
      <c r="G43" s="15" t="s">
        <v>73</v>
      </c>
      <c r="I43" s="15">
        <v>3</v>
      </c>
    </row>
    <row r="44" spans="2:9" ht="15.75" customHeight="1" x14ac:dyDescent="0.2">
      <c r="B44" s="15" t="s">
        <v>131</v>
      </c>
      <c r="C44" s="15" t="s">
        <v>132</v>
      </c>
      <c r="G44" s="15" t="s">
        <v>73</v>
      </c>
      <c r="I44" s="15">
        <v>3</v>
      </c>
    </row>
    <row r="45" spans="2:9" ht="15.75" customHeight="1" x14ac:dyDescent="0.2">
      <c r="B45" s="15" t="s">
        <v>133</v>
      </c>
      <c r="C45" s="15" t="s">
        <v>134</v>
      </c>
      <c r="G45" s="15" t="s">
        <v>73</v>
      </c>
      <c r="I45" s="15">
        <v>2</v>
      </c>
    </row>
    <row r="46" spans="2:9" ht="15.75" customHeight="1" x14ac:dyDescent="0.2">
      <c r="B46" s="15" t="s">
        <v>135</v>
      </c>
      <c r="C46" s="15" t="s">
        <v>136</v>
      </c>
      <c r="G46" s="15" t="s">
        <v>73</v>
      </c>
      <c r="I46" s="15">
        <v>3</v>
      </c>
    </row>
    <row r="47" spans="2:9" ht="15.75" customHeight="1" x14ac:dyDescent="0.2"/>
    <row r="48" spans="2:9" ht="15.75" customHeight="1" x14ac:dyDescent="0.2"/>
    <row r="49" spans="2:10" ht="15.75" customHeight="1" x14ac:dyDescent="0.25">
      <c r="B49" s="33" t="s">
        <v>137</v>
      </c>
      <c r="C49" s="34"/>
      <c r="D49" s="34"/>
      <c r="E49" s="34"/>
      <c r="F49" s="34"/>
      <c r="G49" s="34"/>
      <c r="H49" s="34"/>
      <c r="I49" s="34"/>
      <c r="J49" s="34"/>
    </row>
    <row r="50" spans="2:10" ht="15.75" customHeight="1" x14ac:dyDescent="0.2">
      <c r="B50" s="7" t="s">
        <v>0</v>
      </c>
      <c r="C50" s="7" t="s">
        <v>1</v>
      </c>
      <c r="D50" s="7" t="s">
        <v>2</v>
      </c>
      <c r="E50" s="7" t="s">
        <v>51</v>
      </c>
      <c r="F50" s="7" t="s">
        <v>52</v>
      </c>
      <c r="G50" s="7" t="s">
        <v>53</v>
      </c>
      <c r="H50" s="7" t="s">
        <v>5</v>
      </c>
      <c r="I50" s="7" t="s">
        <v>54</v>
      </c>
      <c r="J50" s="7" t="s">
        <v>55</v>
      </c>
    </row>
    <row r="51" spans="2:10" ht="15.75" customHeight="1" x14ac:dyDescent="0.2">
      <c r="B51" s="3" t="s">
        <v>34</v>
      </c>
      <c r="C51" s="4" t="s">
        <v>35</v>
      </c>
      <c r="D51" s="4" t="s">
        <v>31</v>
      </c>
      <c r="E51" s="4" t="s">
        <v>36</v>
      </c>
      <c r="F51" s="4" t="s">
        <v>37</v>
      </c>
      <c r="G51" s="4"/>
      <c r="H51" s="17"/>
      <c r="I51" s="4" t="s">
        <v>13</v>
      </c>
      <c r="J51" s="8" t="s">
        <v>61</v>
      </c>
    </row>
    <row r="52" spans="2:10" ht="15.75" customHeight="1" x14ac:dyDescent="0.2">
      <c r="B52" s="3" t="s">
        <v>38</v>
      </c>
      <c r="C52" s="4" t="s">
        <v>39</v>
      </c>
      <c r="D52" s="4" t="s">
        <v>40</v>
      </c>
      <c r="E52" s="4" t="s">
        <v>41</v>
      </c>
      <c r="F52" s="4" t="s">
        <v>42</v>
      </c>
      <c r="G52" s="4"/>
      <c r="H52" s="17"/>
      <c r="I52" s="4" t="s">
        <v>13</v>
      </c>
      <c r="J52" s="8" t="s">
        <v>61</v>
      </c>
    </row>
    <row r="53" spans="2:10" ht="15.75" customHeight="1" x14ac:dyDescent="0.2">
      <c r="B53" s="3" t="s">
        <v>43</v>
      </c>
      <c r="C53" s="4" t="s">
        <v>44</v>
      </c>
      <c r="D53" s="4" t="s">
        <v>22</v>
      </c>
      <c r="E53" s="4" t="s">
        <v>45</v>
      </c>
      <c r="F53" s="4" t="s">
        <v>46</v>
      </c>
      <c r="G53" s="4"/>
      <c r="H53" s="17"/>
      <c r="I53" s="4" t="s">
        <v>13</v>
      </c>
      <c r="J53" s="8" t="s">
        <v>61</v>
      </c>
    </row>
    <row r="54" spans="2:10" ht="15.75" customHeight="1" x14ac:dyDescent="0.2">
      <c r="B54" s="3" t="s">
        <v>47</v>
      </c>
      <c r="C54" s="4" t="s">
        <v>48</v>
      </c>
      <c r="D54" s="4" t="s">
        <v>22</v>
      </c>
      <c r="E54" s="4" t="s">
        <v>49</v>
      </c>
      <c r="F54" s="4" t="s">
        <v>50</v>
      </c>
      <c r="G54" s="4"/>
      <c r="H54" s="17"/>
      <c r="I54" s="4" t="s">
        <v>13</v>
      </c>
      <c r="J54" s="8" t="s">
        <v>61</v>
      </c>
    </row>
    <row r="55" spans="2:10" ht="15.75" customHeight="1" x14ac:dyDescent="0.2">
      <c r="B55" s="7"/>
      <c r="C55" s="7"/>
      <c r="D55" s="7"/>
      <c r="E55" s="7"/>
      <c r="F55" s="7"/>
      <c r="G55" s="7"/>
      <c r="H55" s="7"/>
      <c r="I55" s="7"/>
      <c r="J55" s="7">
        <v>5</v>
      </c>
    </row>
    <row r="56" spans="2:10" ht="15.75" customHeight="1" x14ac:dyDescent="0.2"/>
    <row r="57" spans="2:10" ht="15.75" customHeight="1" x14ac:dyDescent="0.2">
      <c r="B57" s="10"/>
      <c r="C57" s="10"/>
      <c r="D57" s="11"/>
      <c r="E57" s="11"/>
      <c r="F57" s="11"/>
      <c r="G57" s="10"/>
      <c r="H57" s="10"/>
      <c r="I57" s="11"/>
      <c r="J57" s="12"/>
    </row>
    <row r="58" spans="2:10" ht="15.75" customHeight="1" x14ac:dyDescent="0.2">
      <c r="B58" s="7" t="s">
        <v>0</v>
      </c>
      <c r="C58" s="7" t="s">
        <v>1</v>
      </c>
      <c r="D58" s="7" t="s">
        <v>2</v>
      </c>
      <c r="E58" s="7" t="s">
        <v>51</v>
      </c>
      <c r="F58" s="7" t="s">
        <v>52</v>
      </c>
      <c r="G58" s="7" t="s">
        <v>53</v>
      </c>
      <c r="H58" s="7" t="s">
        <v>5</v>
      </c>
      <c r="I58" s="7" t="s">
        <v>54</v>
      </c>
      <c r="J58" s="7" t="s">
        <v>55</v>
      </c>
    </row>
    <row r="59" spans="2:10" ht="15.75" customHeight="1" x14ac:dyDescent="0.2">
      <c r="B59" s="13" t="s">
        <v>34</v>
      </c>
      <c r="C59" s="13" t="s">
        <v>35</v>
      </c>
      <c r="D59" s="13" t="s">
        <v>31</v>
      </c>
      <c r="E59" s="13" t="s">
        <v>36</v>
      </c>
      <c r="F59" s="13" t="s">
        <v>37</v>
      </c>
      <c r="G59" s="13" t="s">
        <v>85</v>
      </c>
      <c r="H59" s="14"/>
      <c r="I59" s="14" t="s">
        <v>13</v>
      </c>
      <c r="J59" s="14" t="s">
        <v>61</v>
      </c>
    </row>
    <row r="60" spans="2:10" ht="15.75" customHeight="1" x14ac:dyDescent="0.2">
      <c r="C60" s="15" t="s">
        <v>80</v>
      </c>
      <c r="G60" s="15" t="s">
        <v>81</v>
      </c>
      <c r="I60" s="15" t="s">
        <v>82</v>
      </c>
    </row>
    <row r="61" spans="2:10" ht="15.75" customHeight="1" x14ac:dyDescent="0.2">
      <c r="B61" s="15" t="s">
        <v>138</v>
      </c>
      <c r="C61" s="15" t="s">
        <v>139</v>
      </c>
      <c r="G61" s="15" t="s">
        <v>85</v>
      </c>
      <c r="I61" s="15">
        <v>2</v>
      </c>
    </row>
    <row r="62" spans="2:10" ht="15.75" customHeight="1" x14ac:dyDescent="0.2">
      <c r="B62" s="15" t="s">
        <v>140</v>
      </c>
      <c r="C62" s="15" t="s">
        <v>141</v>
      </c>
      <c r="G62" s="15" t="s">
        <v>85</v>
      </c>
      <c r="I62" s="15">
        <v>3</v>
      </c>
    </row>
    <row r="63" spans="2:10" ht="15.75" customHeight="1" x14ac:dyDescent="0.2">
      <c r="B63" s="15" t="s">
        <v>142</v>
      </c>
      <c r="C63" s="15" t="s">
        <v>143</v>
      </c>
      <c r="G63" s="15" t="s">
        <v>85</v>
      </c>
      <c r="I63" s="15">
        <v>2</v>
      </c>
    </row>
    <row r="64" spans="2:10" ht="15.75" customHeight="1" x14ac:dyDescent="0.2">
      <c r="B64" s="15" t="s">
        <v>144</v>
      </c>
      <c r="C64" s="15" t="s">
        <v>145</v>
      </c>
      <c r="G64" s="15" t="s">
        <v>85</v>
      </c>
      <c r="I64" s="15">
        <v>1</v>
      </c>
    </row>
    <row r="65" spans="2:10" ht="15.75" customHeight="1" x14ac:dyDescent="0.2">
      <c r="B65" s="16"/>
      <c r="C65" s="16"/>
      <c r="D65" s="16"/>
      <c r="E65" s="16"/>
      <c r="F65" s="16"/>
      <c r="G65" s="16"/>
    </row>
    <row r="66" spans="2:10" ht="15.75" customHeight="1" x14ac:dyDescent="0.2">
      <c r="B66" s="14" t="s">
        <v>38</v>
      </c>
      <c r="C66" s="14" t="s">
        <v>39</v>
      </c>
      <c r="D66" s="14" t="s">
        <v>40</v>
      </c>
      <c r="E66" s="14" t="s">
        <v>41</v>
      </c>
      <c r="F66" s="14" t="s">
        <v>42</v>
      </c>
      <c r="G66" s="14" t="s">
        <v>64</v>
      </c>
      <c r="H66" s="14"/>
      <c r="I66" s="14" t="s">
        <v>13</v>
      </c>
      <c r="J66" s="18" t="s">
        <v>61</v>
      </c>
    </row>
    <row r="67" spans="2:10" ht="15.75" customHeight="1" x14ac:dyDescent="0.2">
      <c r="C67" s="15" t="s">
        <v>80</v>
      </c>
      <c r="G67" s="15" t="s">
        <v>81</v>
      </c>
      <c r="I67" s="15" t="s">
        <v>82</v>
      </c>
    </row>
    <row r="68" spans="2:10" ht="15.75" customHeight="1" x14ac:dyDescent="0.2">
      <c r="B68" s="15" t="s">
        <v>146</v>
      </c>
      <c r="C68" s="15" t="s">
        <v>147</v>
      </c>
      <c r="G68" s="15" t="s">
        <v>64</v>
      </c>
      <c r="I68" s="15">
        <v>3</v>
      </c>
    </row>
    <row r="69" spans="2:10" ht="15.75" customHeight="1" x14ac:dyDescent="0.2">
      <c r="B69" s="15" t="s">
        <v>148</v>
      </c>
      <c r="C69" s="15" t="s">
        <v>149</v>
      </c>
      <c r="G69" s="15" t="s">
        <v>64</v>
      </c>
      <c r="I69" s="15">
        <v>2</v>
      </c>
    </row>
    <row r="70" spans="2:10" ht="15.75" customHeight="1" x14ac:dyDescent="0.2">
      <c r="B70" s="16" t="s">
        <v>150</v>
      </c>
      <c r="C70" s="16" t="s">
        <v>151</v>
      </c>
      <c r="D70" s="16"/>
      <c r="E70" s="16"/>
      <c r="F70" s="16"/>
      <c r="G70" s="16" t="s">
        <v>64</v>
      </c>
      <c r="H70" s="16"/>
      <c r="I70" s="16">
        <v>2</v>
      </c>
    </row>
    <row r="71" spans="2:10" ht="15.75" customHeight="1" x14ac:dyDescent="0.2">
      <c r="B71" s="15" t="s">
        <v>152</v>
      </c>
      <c r="C71" s="15" t="s">
        <v>153</v>
      </c>
      <c r="G71" s="15" t="s">
        <v>64</v>
      </c>
      <c r="I71" s="15">
        <v>1</v>
      </c>
    </row>
    <row r="72" spans="2:10" ht="15.75" customHeight="1" x14ac:dyDescent="0.2"/>
    <row r="73" spans="2:10" ht="15.75" customHeight="1" x14ac:dyDescent="0.2">
      <c r="B73" s="14" t="s">
        <v>43</v>
      </c>
      <c r="C73" s="14" t="s">
        <v>44</v>
      </c>
      <c r="D73" s="14" t="s">
        <v>22</v>
      </c>
      <c r="E73" s="14" t="s">
        <v>45</v>
      </c>
      <c r="F73" s="14" t="s">
        <v>46</v>
      </c>
      <c r="G73" s="14" t="s">
        <v>67</v>
      </c>
      <c r="H73" s="14"/>
      <c r="I73" s="14" t="s">
        <v>13</v>
      </c>
      <c r="J73" s="18" t="s">
        <v>61</v>
      </c>
    </row>
    <row r="74" spans="2:10" ht="15.75" customHeight="1" x14ac:dyDescent="0.2">
      <c r="B74" s="16"/>
      <c r="C74" s="16" t="s">
        <v>80</v>
      </c>
      <c r="D74" s="16"/>
      <c r="E74" s="16"/>
      <c r="F74" s="16"/>
      <c r="G74" s="16" t="s">
        <v>81</v>
      </c>
      <c r="I74" s="15" t="s">
        <v>82</v>
      </c>
    </row>
    <row r="75" spans="2:10" ht="15.75" customHeight="1" x14ac:dyDescent="0.2">
      <c r="B75" s="15" t="s">
        <v>154</v>
      </c>
      <c r="C75" s="15" t="s">
        <v>155</v>
      </c>
      <c r="G75" s="15" t="s">
        <v>67</v>
      </c>
      <c r="I75" s="15">
        <v>3</v>
      </c>
    </row>
    <row r="76" spans="2:10" ht="15.75" customHeight="1" x14ac:dyDescent="0.2">
      <c r="B76" s="15" t="s">
        <v>156</v>
      </c>
      <c r="C76" s="15" t="s">
        <v>157</v>
      </c>
      <c r="G76" s="15" t="s">
        <v>67</v>
      </c>
      <c r="I76" s="15">
        <v>2</v>
      </c>
    </row>
    <row r="77" spans="2:10" ht="15.75" customHeight="1" x14ac:dyDescent="0.2">
      <c r="B77" s="15" t="s">
        <v>158</v>
      </c>
      <c r="C77" s="15" t="s">
        <v>159</v>
      </c>
      <c r="G77" s="15" t="s">
        <v>67</v>
      </c>
      <c r="I77" s="15">
        <v>2</v>
      </c>
    </row>
    <row r="78" spans="2:10" ht="15.75" customHeight="1" x14ac:dyDescent="0.2">
      <c r="B78" s="15" t="s">
        <v>160</v>
      </c>
      <c r="C78" s="15" t="s">
        <v>161</v>
      </c>
      <c r="G78" s="15" t="s">
        <v>67</v>
      </c>
      <c r="I78" s="15">
        <v>1</v>
      </c>
    </row>
    <row r="79" spans="2:10" ht="15.75" customHeight="1" x14ac:dyDescent="0.2">
      <c r="B79" s="16"/>
      <c r="C79" s="16"/>
      <c r="D79" s="16"/>
      <c r="E79" s="16"/>
      <c r="F79" s="16"/>
      <c r="G79" s="16"/>
    </row>
    <row r="80" spans="2:10" ht="15.75" customHeight="1" x14ac:dyDescent="0.2">
      <c r="B80" s="14" t="s">
        <v>47</v>
      </c>
      <c r="C80" s="14" t="s">
        <v>48</v>
      </c>
      <c r="D80" s="14" t="s">
        <v>22</v>
      </c>
      <c r="E80" s="14" t="s">
        <v>49</v>
      </c>
      <c r="F80" s="14" t="s">
        <v>50</v>
      </c>
      <c r="G80" s="14"/>
      <c r="H80" s="14"/>
      <c r="I80" s="14" t="s">
        <v>13</v>
      </c>
      <c r="J80" s="18" t="s">
        <v>61</v>
      </c>
    </row>
    <row r="81" spans="2:11" ht="15.75" customHeight="1" x14ac:dyDescent="0.2">
      <c r="C81" s="15" t="s">
        <v>80</v>
      </c>
      <c r="G81" s="15" t="s">
        <v>81</v>
      </c>
      <c r="I81" s="15" t="s">
        <v>82</v>
      </c>
    </row>
    <row r="82" spans="2:11" ht="15.75" customHeight="1" x14ac:dyDescent="0.2">
      <c r="B82" s="15" t="s">
        <v>162</v>
      </c>
      <c r="C82" s="15" t="s">
        <v>163</v>
      </c>
      <c r="G82" s="15" t="s">
        <v>73</v>
      </c>
      <c r="I82" s="15">
        <v>2</v>
      </c>
    </row>
    <row r="83" spans="2:11" ht="15.75" customHeight="1" x14ac:dyDescent="0.2">
      <c r="B83" s="15" t="s">
        <v>164</v>
      </c>
      <c r="C83" s="15" t="s">
        <v>165</v>
      </c>
      <c r="G83" s="15" t="s">
        <v>73</v>
      </c>
      <c r="I83" s="15">
        <v>2</v>
      </c>
    </row>
    <row r="84" spans="2:11" ht="15.75" customHeight="1" x14ac:dyDescent="0.2">
      <c r="B84" s="15" t="s">
        <v>166</v>
      </c>
      <c r="C84" s="15" t="s">
        <v>167</v>
      </c>
      <c r="G84" s="15" t="s">
        <v>73</v>
      </c>
      <c r="I84" s="15">
        <v>3</v>
      </c>
    </row>
    <row r="85" spans="2:11" ht="15.75" customHeight="1" x14ac:dyDescent="0.2">
      <c r="B85" s="15" t="s">
        <v>168</v>
      </c>
      <c r="C85" s="15" t="s">
        <v>169</v>
      </c>
      <c r="G85" s="15" t="s">
        <v>73</v>
      </c>
      <c r="I85" s="15">
        <v>1</v>
      </c>
    </row>
    <row r="86" spans="2:11" ht="15.75" customHeight="1" x14ac:dyDescent="0.2"/>
    <row r="87" spans="2:11" ht="15.75" customHeight="1" x14ac:dyDescent="0.2"/>
    <row r="88" spans="2:11" ht="15.75" customHeight="1" x14ac:dyDescent="0.25">
      <c r="B88" s="33" t="s">
        <v>227</v>
      </c>
      <c r="C88" s="34"/>
      <c r="D88" s="34"/>
      <c r="E88" s="34"/>
      <c r="F88" s="34"/>
      <c r="G88" s="34"/>
      <c r="H88" s="34"/>
      <c r="I88" s="34"/>
      <c r="J88" s="34"/>
    </row>
    <row r="89" spans="2:11" ht="15.75" customHeight="1" x14ac:dyDescent="0.2">
      <c r="B89" s="7" t="s">
        <v>0</v>
      </c>
      <c r="C89" s="7" t="s">
        <v>1</v>
      </c>
      <c r="D89" s="7" t="s">
        <v>2</v>
      </c>
      <c r="E89" s="7" t="s">
        <v>51</v>
      </c>
      <c r="F89" s="7" t="s">
        <v>52</v>
      </c>
      <c r="G89" s="7" t="s">
        <v>53</v>
      </c>
      <c r="H89" s="7" t="s">
        <v>5</v>
      </c>
      <c r="I89" s="7" t="s">
        <v>54</v>
      </c>
      <c r="J89" s="7" t="s">
        <v>55</v>
      </c>
    </row>
    <row r="90" spans="2:11" ht="15.75" customHeight="1" x14ac:dyDescent="0.2">
      <c r="B90" s="3" t="s">
        <v>221</v>
      </c>
      <c r="C90" s="4" t="s">
        <v>224</v>
      </c>
      <c r="D90" s="4" t="s">
        <v>40</v>
      </c>
      <c r="E90" s="4" t="s">
        <v>215</v>
      </c>
      <c r="F90" s="4" t="s">
        <v>216</v>
      </c>
      <c r="G90" s="27"/>
      <c r="H90" s="29"/>
      <c r="I90" s="28" t="s">
        <v>13</v>
      </c>
      <c r="J90" s="8" t="s">
        <v>61</v>
      </c>
    </row>
    <row r="91" spans="2:11" ht="15.75" customHeight="1" x14ac:dyDescent="0.2">
      <c r="B91" s="3" t="s">
        <v>222</v>
      </c>
      <c r="C91" s="4" t="s">
        <v>225</v>
      </c>
      <c r="D91" s="4" t="s">
        <v>31</v>
      </c>
      <c r="E91" s="4" t="s">
        <v>217</v>
      </c>
      <c r="F91" s="4" t="s">
        <v>218</v>
      </c>
      <c r="G91" s="27"/>
      <c r="H91" s="29"/>
      <c r="I91" s="28" t="s">
        <v>13</v>
      </c>
      <c r="J91" s="8" t="s">
        <v>61</v>
      </c>
    </row>
    <row r="92" spans="2:11" ht="15.75" customHeight="1" x14ac:dyDescent="0.2">
      <c r="B92" s="3" t="s">
        <v>223</v>
      </c>
      <c r="C92" s="4" t="s">
        <v>226</v>
      </c>
      <c r="D92" s="4" t="s">
        <v>31</v>
      </c>
      <c r="E92" s="4" t="s">
        <v>219</v>
      </c>
      <c r="F92" s="4" t="s">
        <v>220</v>
      </c>
      <c r="G92" s="27"/>
      <c r="H92" s="29"/>
      <c r="I92" s="28" t="s">
        <v>13</v>
      </c>
      <c r="J92" s="8" t="s">
        <v>61</v>
      </c>
    </row>
    <row r="93" spans="2:11" ht="15.75" customHeight="1" x14ac:dyDescent="0.2"/>
    <row r="94" spans="2:11" ht="15.75" customHeight="1" x14ac:dyDescent="0.2">
      <c r="B94" s="7" t="s">
        <v>0</v>
      </c>
      <c r="C94" s="7" t="s">
        <v>1</v>
      </c>
      <c r="D94" s="7" t="s">
        <v>2</v>
      </c>
      <c r="E94" s="7" t="s">
        <v>51</v>
      </c>
      <c r="F94" s="7" t="s">
        <v>52</v>
      </c>
      <c r="G94" s="7" t="s">
        <v>53</v>
      </c>
      <c r="H94" s="7" t="s">
        <v>5</v>
      </c>
      <c r="I94" s="7" t="s">
        <v>54</v>
      </c>
      <c r="J94" s="7" t="s">
        <v>55</v>
      </c>
      <c r="K94" s="25"/>
    </row>
    <row r="95" spans="2:11" ht="15.75" customHeight="1" x14ac:dyDescent="0.2">
      <c r="B95" s="30" t="s">
        <v>221</v>
      </c>
      <c r="C95" s="30" t="s">
        <v>224</v>
      </c>
      <c r="D95" s="13" t="s">
        <v>31</v>
      </c>
      <c r="E95" s="13" t="s">
        <v>36</v>
      </c>
      <c r="F95" s="13" t="s">
        <v>37</v>
      </c>
      <c r="G95" s="13" t="s">
        <v>85</v>
      </c>
      <c r="H95" s="14"/>
      <c r="I95" s="14" t="s">
        <v>13</v>
      </c>
      <c r="J95" s="14" t="s">
        <v>61</v>
      </c>
      <c r="K95" s="26"/>
    </row>
    <row r="96" spans="2:11" ht="15.75" customHeight="1" x14ac:dyDescent="0.2">
      <c r="C96" s="15" t="s">
        <v>80</v>
      </c>
      <c r="G96" s="15" t="s">
        <v>81</v>
      </c>
      <c r="I96" s="15" t="s">
        <v>82</v>
      </c>
      <c r="K96" s="26"/>
    </row>
    <row r="97" spans="2:11" ht="15.75" customHeight="1" x14ac:dyDescent="0.2">
      <c r="B97" s="10" t="s">
        <v>228</v>
      </c>
      <c r="C97" s="10" t="s">
        <v>240</v>
      </c>
      <c r="G97" s="15" t="s">
        <v>73</v>
      </c>
      <c r="I97" s="15">
        <v>2</v>
      </c>
      <c r="K97" s="26"/>
    </row>
    <row r="98" spans="2:11" ht="15.75" customHeight="1" x14ac:dyDescent="0.2">
      <c r="B98" s="10" t="s">
        <v>229</v>
      </c>
      <c r="C98" s="10" t="s">
        <v>241</v>
      </c>
      <c r="G98" s="15" t="s">
        <v>73</v>
      </c>
      <c r="I98" s="15">
        <v>2</v>
      </c>
    </row>
    <row r="99" spans="2:11" ht="15.75" customHeight="1" x14ac:dyDescent="0.2">
      <c r="B99" s="10" t="s">
        <v>230</v>
      </c>
      <c r="C99" s="10" t="s">
        <v>242</v>
      </c>
      <c r="G99" s="15" t="s">
        <v>73</v>
      </c>
      <c r="I99" s="15">
        <v>2</v>
      </c>
    </row>
    <row r="100" spans="2:11" ht="15.75" customHeight="1" x14ac:dyDescent="0.2">
      <c r="B100" s="10" t="s">
        <v>231</v>
      </c>
      <c r="C100" s="10" t="s">
        <v>243</v>
      </c>
      <c r="G100" s="15" t="s">
        <v>73</v>
      </c>
      <c r="I100" s="15">
        <v>2</v>
      </c>
    </row>
    <row r="101" spans="2:11" ht="15.75" customHeight="1" x14ac:dyDescent="0.2">
      <c r="B101" s="16"/>
      <c r="C101" s="16"/>
      <c r="D101" s="16"/>
      <c r="E101" s="16"/>
      <c r="F101" s="16"/>
      <c r="G101" s="16"/>
    </row>
    <row r="102" spans="2:11" ht="15.75" customHeight="1" x14ac:dyDescent="0.2">
      <c r="B102" s="31" t="s">
        <v>222</v>
      </c>
      <c r="C102" s="31" t="s">
        <v>225</v>
      </c>
      <c r="D102" s="14" t="s">
        <v>40</v>
      </c>
      <c r="E102" s="14" t="s">
        <v>41</v>
      </c>
      <c r="F102" s="14" t="s">
        <v>42</v>
      </c>
      <c r="G102" s="14" t="s">
        <v>64</v>
      </c>
      <c r="H102" s="14"/>
      <c r="I102" s="14" t="s">
        <v>13</v>
      </c>
      <c r="J102" s="18" t="s">
        <v>61</v>
      </c>
    </row>
    <row r="103" spans="2:11" ht="15.75" customHeight="1" x14ac:dyDescent="0.2">
      <c r="C103" s="15" t="s">
        <v>80</v>
      </c>
      <c r="G103" s="15" t="s">
        <v>81</v>
      </c>
      <c r="I103" s="15" t="s">
        <v>82</v>
      </c>
    </row>
    <row r="104" spans="2:11" ht="15.75" customHeight="1" x14ac:dyDescent="0.2">
      <c r="B104" s="10" t="s">
        <v>232</v>
      </c>
      <c r="C104" s="10" t="s">
        <v>244</v>
      </c>
      <c r="G104" s="15" t="s">
        <v>64</v>
      </c>
      <c r="I104" s="15">
        <v>1</v>
      </c>
    </row>
    <row r="105" spans="2:11" ht="15.75" customHeight="1" x14ac:dyDescent="0.2">
      <c r="B105" s="10" t="s">
        <v>233</v>
      </c>
      <c r="C105" s="10" t="s">
        <v>245</v>
      </c>
      <c r="G105" s="15" t="s">
        <v>64</v>
      </c>
      <c r="I105" s="15">
        <v>1</v>
      </c>
    </row>
    <row r="106" spans="2:11" ht="15.75" customHeight="1" x14ac:dyDescent="0.2">
      <c r="B106" s="10" t="s">
        <v>234</v>
      </c>
      <c r="C106" s="32" t="s">
        <v>246</v>
      </c>
      <c r="D106" s="16"/>
      <c r="E106" s="16"/>
      <c r="F106" s="16"/>
      <c r="G106" s="16" t="s">
        <v>64</v>
      </c>
      <c r="H106" s="16"/>
      <c r="I106" s="16">
        <v>1</v>
      </c>
    </row>
    <row r="107" spans="2:11" ht="15.75" customHeight="1" x14ac:dyDescent="0.2">
      <c r="B107" s="10" t="s">
        <v>235</v>
      </c>
      <c r="C107" s="10" t="s">
        <v>247</v>
      </c>
      <c r="G107" s="15" t="s">
        <v>64</v>
      </c>
      <c r="I107" s="15">
        <v>1</v>
      </c>
    </row>
    <row r="108" spans="2:11" ht="15.75" customHeight="1" x14ac:dyDescent="0.2"/>
    <row r="109" spans="2:11" ht="15.75" customHeight="1" x14ac:dyDescent="0.2">
      <c r="B109" s="31" t="s">
        <v>223</v>
      </c>
      <c r="C109" s="31" t="s">
        <v>226</v>
      </c>
      <c r="D109" s="14" t="s">
        <v>22</v>
      </c>
      <c r="E109" s="14" t="s">
        <v>45</v>
      </c>
      <c r="F109" s="14" t="s">
        <v>46</v>
      </c>
      <c r="G109" s="14" t="s">
        <v>67</v>
      </c>
      <c r="H109" s="14"/>
      <c r="I109" s="14" t="s">
        <v>13</v>
      </c>
      <c r="J109" s="18" t="s">
        <v>61</v>
      </c>
    </row>
    <row r="110" spans="2:11" ht="15.75" customHeight="1" x14ac:dyDescent="0.2">
      <c r="B110" s="16"/>
      <c r="C110" s="16" t="s">
        <v>80</v>
      </c>
      <c r="D110" s="16"/>
      <c r="E110" s="16"/>
      <c r="F110" s="16"/>
      <c r="G110" s="16" t="s">
        <v>81</v>
      </c>
      <c r="I110" s="15" t="s">
        <v>82</v>
      </c>
    </row>
    <row r="111" spans="2:11" ht="15.75" customHeight="1" x14ac:dyDescent="0.2">
      <c r="B111" s="10" t="s">
        <v>236</v>
      </c>
      <c r="C111" s="10" t="s">
        <v>248</v>
      </c>
      <c r="G111" s="15" t="s">
        <v>67</v>
      </c>
      <c r="I111" s="15">
        <v>2</v>
      </c>
    </row>
    <row r="112" spans="2:11" ht="15.75" customHeight="1" x14ac:dyDescent="0.2">
      <c r="B112" s="10" t="s">
        <v>237</v>
      </c>
      <c r="C112" s="10" t="s">
        <v>249</v>
      </c>
      <c r="G112" s="15" t="s">
        <v>67</v>
      </c>
      <c r="I112" s="15">
        <v>2</v>
      </c>
    </row>
    <row r="113" spans="2:9" ht="15.75" customHeight="1" x14ac:dyDescent="0.2">
      <c r="B113" s="10" t="s">
        <v>238</v>
      </c>
      <c r="C113" s="10" t="s">
        <v>250</v>
      </c>
      <c r="G113" s="15" t="s">
        <v>67</v>
      </c>
      <c r="I113" s="15">
        <v>1</v>
      </c>
    </row>
    <row r="114" spans="2:9" ht="15.75" customHeight="1" x14ac:dyDescent="0.2">
      <c r="B114" s="10" t="s">
        <v>239</v>
      </c>
      <c r="C114" s="10" t="s">
        <v>251</v>
      </c>
      <c r="G114" s="15" t="s">
        <v>67</v>
      </c>
      <c r="I114" s="15">
        <v>1</v>
      </c>
    </row>
    <row r="115" spans="2:9" ht="15.75" customHeight="1" x14ac:dyDescent="0.2"/>
    <row r="116" spans="2:9" ht="15.75" customHeight="1" x14ac:dyDescent="0.2"/>
    <row r="117" spans="2:9" ht="15.75" customHeight="1" x14ac:dyDescent="0.2"/>
    <row r="118" spans="2:9" ht="15.75" customHeight="1" x14ac:dyDescent="0.2"/>
    <row r="119" spans="2:9" ht="15.75" customHeight="1" x14ac:dyDescent="0.2"/>
    <row r="120" spans="2:9" ht="15.75" customHeight="1" x14ac:dyDescent="0.2"/>
    <row r="121" spans="2:9" ht="15.75" customHeight="1" x14ac:dyDescent="0.2"/>
    <row r="122" spans="2:9" ht="15.75" customHeight="1" x14ac:dyDescent="0.2"/>
    <row r="123" spans="2:9" ht="15.75" customHeight="1" x14ac:dyDescent="0.2"/>
    <row r="124" spans="2:9" ht="15.75" customHeight="1" x14ac:dyDescent="0.2"/>
    <row r="125" spans="2:9" ht="15.75" customHeight="1" x14ac:dyDescent="0.2"/>
    <row r="126" spans="2:9" ht="15.75" customHeight="1" x14ac:dyDescent="0.2"/>
    <row r="127" spans="2:9" ht="15.75" customHeight="1" x14ac:dyDescent="0.2"/>
    <row r="128" spans="2:9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2">
    <mergeCell ref="B49:J49"/>
    <mergeCell ref="B88:J88"/>
  </mergeCells>
  <phoneticPr fontId="1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0"/>
  <sheetViews>
    <sheetView topLeftCell="A109" zoomScale="91" zoomScaleNormal="91" workbookViewId="0">
      <selection activeCell="B121" sqref="B121:H122"/>
    </sheetView>
  </sheetViews>
  <sheetFormatPr baseColWidth="10" defaultColWidth="12.7109375" defaultRowHeight="15" customHeight="1" x14ac:dyDescent="0.2"/>
  <cols>
    <col min="1" max="1" width="12.42578125" customWidth="1"/>
    <col min="2" max="2" width="24.42578125" customWidth="1"/>
    <col min="3" max="26" width="12.42578125" customWidth="1"/>
  </cols>
  <sheetData>
    <row r="1" spans="2:9" ht="15.75" customHeight="1" x14ac:dyDescent="0.2">
      <c r="B1" s="10"/>
      <c r="C1" s="10" t="s">
        <v>82</v>
      </c>
      <c r="D1" s="10" t="s">
        <v>170</v>
      </c>
      <c r="E1" s="10" t="s">
        <v>171</v>
      </c>
      <c r="F1" s="10" t="s">
        <v>172</v>
      </c>
      <c r="G1" s="10" t="s">
        <v>173</v>
      </c>
      <c r="H1" s="10" t="s">
        <v>174</v>
      </c>
      <c r="I1" s="10" t="s">
        <v>175</v>
      </c>
    </row>
    <row r="2" spans="2:9" ht="15.75" customHeight="1" x14ac:dyDescent="0.2">
      <c r="B2" s="19" t="s">
        <v>176</v>
      </c>
      <c r="C2" s="15">
        <v>3</v>
      </c>
      <c r="D2" s="15">
        <v>0</v>
      </c>
      <c r="E2" s="15">
        <v>1</v>
      </c>
      <c r="F2" s="15">
        <v>1</v>
      </c>
      <c r="G2" s="15">
        <v>1</v>
      </c>
      <c r="H2" s="15">
        <v>0</v>
      </c>
      <c r="I2" s="20">
        <f t="shared" ref="I2:I5" si="0">SUM(D2:H2)</f>
        <v>3</v>
      </c>
    </row>
    <row r="3" spans="2:9" ht="27" customHeight="1" x14ac:dyDescent="0.2">
      <c r="B3" s="19" t="s">
        <v>177</v>
      </c>
      <c r="C3" s="15">
        <v>3</v>
      </c>
      <c r="D3" s="15">
        <v>1</v>
      </c>
      <c r="E3" s="15">
        <v>1</v>
      </c>
      <c r="F3" s="15">
        <v>1</v>
      </c>
      <c r="G3" s="15">
        <v>0</v>
      </c>
      <c r="H3" s="15">
        <v>0</v>
      </c>
      <c r="I3" s="20">
        <f t="shared" si="0"/>
        <v>3</v>
      </c>
    </row>
    <row r="4" spans="2:9" ht="31.5" customHeight="1" x14ac:dyDescent="0.2">
      <c r="B4" s="21" t="s">
        <v>178</v>
      </c>
      <c r="C4" s="15">
        <v>2</v>
      </c>
      <c r="D4" s="15">
        <v>0</v>
      </c>
      <c r="E4" s="15">
        <v>1</v>
      </c>
      <c r="F4" s="15">
        <v>1</v>
      </c>
      <c r="G4" s="15">
        <v>0</v>
      </c>
      <c r="H4" s="15">
        <v>0</v>
      </c>
      <c r="I4" s="20">
        <f t="shared" si="0"/>
        <v>2</v>
      </c>
    </row>
    <row r="5" spans="2:9" ht="30.75" customHeight="1" x14ac:dyDescent="0.2">
      <c r="B5" s="21" t="s">
        <v>179</v>
      </c>
      <c r="C5" s="15">
        <v>2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20">
        <f t="shared" si="0"/>
        <v>2</v>
      </c>
    </row>
    <row r="6" spans="2:9" ht="15.75" customHeight="1" x14ac:dyDescent="0.2">
      <c r="B6" s="21"/>
      <c r="I6" s="20"/>
    </row>
    <row r="7" spans="2:9" ht="15.75" customHeight="1" x14ac:dyDescent="0.2">
      <c r="B7" s="21" t="s">
        <v>180</v>
      </c>
      <c r="C7" s="15">
        <v>3</v>
      </c>
      <c r="D7" s="15">
        <v>0</v>
      </c>
      <c r="E7" s="15">
        <v>1</v>
      </c>
      <c r="F7" s="15">
        <v>1</v>
      </c>
      <c r="G7" s="15">
        <v>1</v>
      </c>
      <c r="H7" s="15">
        <v>0</v>
      </c>
      <c r="I7" s="20">
        <f t="shared" ref="I7:I10" si="1">SUM(D7:H7)</f>
        <v>3</v>
      </c>
    </row>
    <row r="8" spans="2:9" ht="15.75" customHeight="1" x14ac:dyDescent="0.2">
      <c r="B8" s="21" t="s">
        <v>181</v>
      </c>
      <c r="C8" s="15">
        <v>3</v>
      </c>
      <c r="D8" s="15">
        <v>1</v>
      </c>
      <c r="E8" s="15">
        <v>1</v>
      </c>
      <c r="F8" s="15">
        <v>1</v>
      </c>
      <c r="G8" s="15">
        <v>0</v>
      </c>
      <c r="H8" s="15">
        <v>0</v>
      </c>
      <c r="I8" s="20">
        <f t="shared" si="1"/>
        <v>3</v>
      </c>
    </row>
    <row r="9" spans="2:9" ht="15.75" customHeight="1" x14ac:dyDescent="0.2">
      <c r="B9" s="21" t="s">
        <v>182</v>
      </c>
      <c r="C9" s="15">
        <v>2</v>
      </c>
      <c r="D9" s="15">
        <v>0</v>
      </c>
      <c r="E9" s="15">
        <v>1</v>
      </c>
      <c r="F9" s="15">
        <v>1</v>
      </c>
      <c r="G9" s="15">
        <v>0</v>
      </c>
      <c r="H9" s="15">
        <v>0</v>
      </c>
      <c r="I9" s="20">
        <f t="shared" si="1"/>
        <v>2</v>
      </c>
    </row>
    <row r="10" spans="2:9" ht="15.75" customHeight="1" x14ac:dyDescent="0.2">
      <c r="B10" s="21" t="s">
        <v>183</v>
      </c>
      <c r="C10" s="15">
        <v>3</v>
      </c>
      <c r="D10" s="15">
        <v>1</v>
      </c>
      <c r="E10" s="15">
        <v>1</v>
      </c>
      <c r="F10" s="15">
        <v>1</v>
      </c>
      <c r="G10" s="15">
        <v>0</v>
      </c>
      <c r="H10" s="15">
        <v>0</v>
      </c>
      <c r="I10" s="20">
        <f t="shared" si="1"/>
        <v>3</v>
      </c>
    </row>
    <row r="11" spans="2:9" ht="15.75" customHeight="1" x14ac:dyDescent="0.2">
      <c r="B11" s="21"/>
      <c r="I11" s="20"/>
    </row>
    <row r="12" spans="2:9" ht="15.75" customHeight="1" x14ac:dyDescent="0.2">
      <c r="B12" s="21" t="s">
        <v>184</v>
      </c>
      <c r="C12" s="15">
        <v>3</v>
      </c>
      <c r="D12" s="15">
        <v>0</v>
      </c>
      <c r="E12" s="15">
        <v>1</v>
      </c>
      <c r="F12" s="15">
        <v>1</v>
      </c>
      <c r="G12" s="15">
        <v>1</v>
      </c>
      <c r="H12" s="15">
        <v>0</v>
      </c>
      <c r="I12" s="20">
        <f t="shared" ref="I12:I15" si="2">SUM(D12:H12)</f>
        <v>3</v>
      </c>
    </row>
    <row r="13" spans="2:9" ht="15.75" customHeight="1" x14ac:dyDescent="0.2">
      <c r="B13" s="21" t="s">
        <v>185</v>
      </c>
      <c r="C13" s="15">
        <v>2</v>
      </c>
      <c r="D13" s="15">
        <v>1</v>
      </c>
      <c r="E13" s="15">
        <v>1</v>
      </c>
      <c r="F13" s="15">
        <v>0</v>
      </c>
      <c r="G13" s="15">
        <v>0</v>
      </c>
      <c r="H13" s="15">
        <v>0</v>
      </c>
      <c r="I13" s="20">
        <f t="shared" si="2"/>
        <v>2</v>
      </c>
    </row>
    <row r="14" spans="2:9" ht="15.75" customHeight="1" x14ac:dyDescent="0.2">
      <c r="B14" s="21" t="s">
        <v>186</v>
      </c>
      <c r="C14" s="15">
        <v>3</v>
      </c>
      <c r="D14" s="15">
        <v>1</v>
      </c>
      <c r="E14" s="15">
        <v>1</v>
      </c>
      <c r="F14" s="15">
        <v>1</v>
      </c>
      <c r="G14" s="15">
        <v>0</v>
      </c>
      <c r="H14" s="15">
        <v>0</v>
      </c>
      <c r="I14" s="20">
        <f t="shared" si="2"/>
        <v>3</v>
      </c>
    </row>
    <row r="15" spans="2:9" ht="15.75" customHeight="1" x14ac:dyDescent="0.2">
      <c r="B15" s="21" t="s">
        <v>187</v>
      </c>
      <c r="C15" s="15">
        <v>1</v>
      </c>
      <c r="D15" s="15">
        <v>0</v>
      </c>
      <c r="E15" s="15">
        <v>1</v>
      </c>
      <c r="F15" s="15">
        <v>0</v>
      </c>
      <c r="G15" s="15">
        <v>0</v>
      </c>
      <c r="H15" s="15">
        <v>0</v>
      </c>
      <c r="I15" s="20">
        <f t="shared" si="2"/>
        <v>1</v>
      </c>
    </row>
    <row r="16" spans="2:9" ht="15.75" customHeight="1" x14ac:dyDescent="0.2">
      <c r="B16" s="21"/>
      <c r="I16" s="20"/>
    </row>
    <row r="17" spans="2:9" ht="15.75" customHeight="1" x14ac:dyDescent="0.2">
      <c r="B17" s="21" t="s">
        <v>188</v>
      </c>
      <c r="C17" s="15">
        <v>3</v>
      </c>
      <c r="D17" s="15">
        <v>0</v>
      </c>
      <c r="E17" s="15">
        <v>1</v>
      </c>
      <c r="F17" s="15">
        <v>1</v>
      </c>
      <c r="G17" s="15">
        <v>1</v>
      </c>
      <c r="H17" s="15">
        <v>0</v>
      </c>
      <c r="I17" s="20">
        <f t="shared" ref="I17:I20" si="3">SUM(D17:H17)</f>
        <v>3</v>
      </c>
    </row>
    <row r="18" spans="2:9" ht="15.75" customHeight="1" x14ac:dyDescent="0.2">
      <c r="B18" s="21" t="s">
        <v>189</v>
      </c>
      <c r="C18" s="15">
        <v>2</v>
      </c>
      <c r="D18" s="15">
        <v>1</v>
      </c>
      <c r="E18" s="15">
        <v>1</v>
      </c>
      <c r="F18" s="15">
        <v>0</v>
      </c>
      <c r="G18" s="15">
        <v>0</v>
      </c>
      <c r="H18" s="15">
        <v>0</v>
      </c>
      <c r="I18" s="20">
        <f t="shared" si="3"/>
        <v>2</v>
      </c>
    </row>
    <row r="19" spans="2:9" ht="15.75" customHeight="1" x14ac:dyDescent="0.2">
      <c r="B19" s="21" t="s">
        <v>190</v>
      </c>
      <c r="C19" s="15">
        <v>3</v>
      </c>
      <c r="D19" s="15">
        <v>1</v>
      </c>
      <c r="E19" s="15">
        <v>1</v>
      </c>
      <c r="F19" s="15">
        <v>1</v>
      </c>
      <c r="G19" s="15">
        <v>0</v>
      </c>
      <c r="H19" s="15">
        <v>0</v>
      </c>
      <c r="I19" s="20">
        <f t="shared" si="3"/>
        <v>3</v>
      </c>
    </row>
    <row r="20" spans="2:9" ht="15.75" customHeight="1" x14ac:dyDescent="0.2">
      <c r="B20" s="21" t="s">
        <v>191</v>
      </c>
      <c r="C20" s="15">
        <v>2</v>
      </c>
      <c r="D20" s="15">
        <v>0</v>
      </c>
      <c r="E20" s="15">
        <v>1</v>
      </c>
      <c r="F20" s="15">
        <v>1</v>
      </c>
      <c r="G20" s="15">
        <v>0</v>
      </c>
      <c r="H20" s="15">
        <v>0</v>
      </c>
      <c r="I20" s="20">
        <f t="shared" si="3"/>
        <v>2</v>
      </c>
    </row>
    <row r="21" spans="2:9" ht="15.75" customHeight="1" x14ac:dyDescent="0.2">
      <c r="B21" s="21"/>
      <c r="I21" s="20"/>
    </row>
    <row r="22" spans="2:9" ht="15.75" customHeight="1" x14ac:dyDescent="0.2">
      <c r="B22" s="21" t="s">
        <v>192</v>
      </c>
      <c r="C22" s="15">
        <v>3</v>
      </c>
      <c r="D22" s="15">
        <v>1</v>
      </c>
      <c r="E22" s="15">
        <v>1</v>
      </c>
      <c r="F22" s="15">
        <v>1</v>
      </c>
      <c r="G22" s="15">
        <v>0</v>
      </c>
      <c r="H22" s="15">
        <v>0</v>
      </c>
      <c r="I22" s="20">
        <f t="shared" ref="I22:I25" si="4">SUM(D22:H22)</f>
        <v>3</v>
      </c>
    </row>
    <row r="23" spans="2:9" ht="15.75" customHeight="1" x14ac:dyDescent="0.2">
      <c r="B23" s="21" t="s">
        <v>193</v>
      </c>
      <c r="C23" s="15">
        <v>3</v>
      </c>
      <c r="D23" s="15">
        <v>1</v>
      </c>
      <c r="E23" s="15">
        <v>1</v>
      </c>
      <c r="F23" s="15">
        <v>1</v>
      </c>
      <c r="G23" s="15">
        <v>0</v>
      </c>
      <c r="H23" s="15">
        <v>0</v>
      </c>
      <c r="I23" s="20">
        <f t="shared" si="4"/>
        <v>3</v>
      </c>
    </row>
    <row r="24" spans="2:9" ht="15.75" customHeight="1" x14ac:dyDescent="0.2">
      <c r="B24" s="21" t="s">
        <v>194</v>
      </c>
      <c r="C24" s="15">
        <v>2</v>
      </c>
      <c r="D24" s="15">
        <v>0</v>
      </c>
      <c r="E24" s="15">
        <v>1</v>
      </c>
      <c r="F24" s="15">
        <v>1</v>
      </c>
      <c r="G24" s="15">
        <v>0</v>
      </c>
      <c r="H24" s="15">
        <v>0</v>
      </c>
      <c r="I24" s="20">
        <f t="shared" si="4"/>
        <v>2</v>
      </c>
    </row>
    <row r="25" spans="2:9" ht="15.75" customHeight="1" x14ac:dyDescent="0.2">
      <c r="B25" s="21" t="s">
        <v>195</v>
      </c>
      <c r="C25" s="15">
        <v>3</v>
      </c>
      <c r="D25" s="15">
        <v>1</v>
      </c>
      <c r="E25" s="15">
        <v>1</v>
      </c>
      <c r="F25" s="15">
        <v>1</v>
      </c>
      <c r="G25" s="15">
        <v>0</v>
      </c>
      <c r="H25" s="15">
        <v>0</v>
      </c>
      <c r="I25" s="20">
        <f t="shared" si="4"/>
        <v>3</v>
      </c>
    </row>
    <row r="26" spans="2:9" ht="15.75" customHeight="1" x14ac:dyDescent="0.2"/>
    <row r="27" spans="2:9" ht="15.75" customHeight="1" x14ac:dyDescent="0.2"/>
    <row r="28" spans="2:9" ht="15.75" customHeight="1" x14ac:dyDescent="0.2">
      <c r="B28" s="22" t="s">
        <v>196</v>
      </c>
      <c r="C28" s="10">
        <f>SUM(C2:C25)</f>
        <v>51</v>
      </c>
      <c r="D28" s="10">
        <f t="shared" ref="D28:G28" si="5">C28-SUM(D2:D25)</f>
        <v>40</v>
      </c>
      <c r="E28" s="10">
        <f t="shared" si="5"/>
        <v>20</v>
      </c>
      <c r="F28" s="10">
        <f t="shared" si="5"/>
        <v>4</v>
      </c>
      <c r="G28" s="10">
        <f t="shared" si="5"/>
        <v>0</v>
      </c>
      <c r="H28" s="10">
        <f>G28-SUM(H2:H3)</f>
        <v>0</v>
      </c>
    </row>
    <row r="29" spans="2:9" ht="15.75" customHeight="1" x14ac:dyDescent="0.2">
      <c r="B29" s="22" t="s">
        <v>197</v>
      </c>
      <c r="C29" s="10">
        <f>SUM(C2:C25)</f>
        <v>51</v>
      </c>
      <c r="D29" s="10">
        <f>C29-(SUM(C2:C25)/5)</f>
        <v>40.799999999999997</v>
      </c>
      <c r="E29" s="10">
        <f>D29-(SUM(C2:C25)/5)</f>
        <v>30.599999999999998</v>
      </c>
      <c r="F29" s="10">
        <f>E29-(SUM(C2:C25)/5)</f>
        <v>20.399999999999999</v>
      </c>
      <c r="G29" s="10">
        <f>F29-(SUM(C2:C25)/5)</f>
        <v>10.199999999999999</v>
      </c>
      <c r="H29" s="10">
        <f>G29-(SUM(C2:C3)/5)</f>
        <v>9</v>
      </c>
    </row>
    <row r="30" spans="2:9" ht="15.75" customHeight="1" x14ac:dyDescent="0.2"/>
    <row r="31" spans="2:9" ht="15.75" customHeight="1" x14ac:dyDescent="0.2">
      <c r="B31" s="35" t="s">
        <v>198</v>
      </c>
      <c r="C31" s="34"/>
      <c r="D31" s="34"/>
      <c r="E31" s="34"/>
      <c r="F31" s="34"/>
      <c r="G31" s="34"/>
    </row>
    <row r="32" spans="2:9" ht="15.75" customHeight="1" x14ac:dyDescent="0.2">
      <c r="B32" s="34"/>
      <c r="C32" s="34"/>
      <c r="D32" s="34"/>
      <c r="E32" s="34"/>
      <c r="F32" s="34"/>
      <c r="G32" s="34"/>
    </row>
    <row r="33" spans="2:7" ht="15.75" customHeight="1" x14ac:dyDescent="0.2">
      <c r="B33" s="34"/>
      <c r="C33" s="34"/>
      <c r="D33" s="34"/>
      <c r="E33" s="34"/>
      <c r="F33" s="34"/>
      <c r="G33" s="34"/>
    </row>
    <row r="34" spans="2:7" ht="15.75" customHeight="1" x14ac:dyDescent="0.2">
      <c r="B34" s="34"/>
      <c r="C34" s="34"/>
      <c r="D34" s="34"/>
      <c r="E34" s="34"/>
      <c r="F34" s="34"/>
      <c r="G34" s="34"/>
    </row>
    <row r="35" spans="2:7" ht="15.75" customHeight="1" x14ac:dyDescent="0.2">
      <c r="B35" s="34"/>
      <c r="C35" s="34"/>
      <c r="D35" s="34"/>
      <c r="E35" s="34"/>
      <c r="F35" s="34"/>
      <c r="G35" s="34"/>
    </row>
    <row r="36" spans="2:7" ht="15.75" customHeight="1" x14ac:dyDescent="0.2">
      <c r="B36" s="34"/>
      <c r="C36" s="34"/>
      <c r="D36" s="34"/>
      <c r="E36" s="34"/>
      <c r="F36" s="34"/>
      <c r="G36" s="34"/>
    </row>
    <row r="37" spans="2:7" ht="15.75" customHeight="1" x14ac:dyDescent="0.2">
      <c r="B37" s="34"/>
      <c r="C37" s="34"/>
      <c r="D37" s="34"/>
      <c r="E37" s="34"/>
      <c r="F37" s="34"/>
      <c r="G37" s="34"/>
    </row>
    <row r="38" spans="2:7" ht="15.75" customHeight="1" x14ac:dyDescent="0.2">
      <c r="B38" s="34"/>
      <c r="C38" s="34"/>
      <c r="D38" s="34"/>
      <c r="E38" s="34"/>
      <c r="F38" s="34"/>
      <c r="G38" s="34"/>
    </row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spans="2:9" ht="15.75" customHeight="1" x14ac:dyDescent="0.2"/>
    <row r="50" spans="2:9" ht="15.75" customHeight="1" x14ac:dyDescent="0.2"/>
    <row r="51" spans="2:9" ht="15.75" customHeight="1" x14ac:dyDescent="0.2"/>
    <row r="52" spans="2:9" ht="15.75" customHeight="1" x14ac:dyDescent="0.2">
      <c r="B52" s="36" t="s">
        <v>137</v>
      </c>
      <c r="C52" s="34"/>
      <c r="D52" s="34"/>
      <c r="E52" s="34"/>
      <c r="F52" s="34"/>
      <c r="G52" s="34"/>
      <c r="H52" s="34"/>
      <c r="I52" s="34"/>
    </row>
    <row r="53" spans="2:9" ht="15.75" customHeight="1" x14ac:dyDescent="0.2">
      <c r="B53" s="34"/>
      <c r="C53" s="34"/>
      <c r="D53" s="34"/>
      <c r="E53" s="34"/>
      <c r="F53" s="34"/>
      <c r="G53" s="34"/>
      <c r="H53" s="34"/>
      <c r="I53" s="34"/>
    </row>
    <row r="54" spans="2:9" ht="15.75" customHeight="1" x14ac:dyDescent="0.2"/>
    <row r="55" spans="2:9" ht="15.75" customHeight="1" x14ac:dyDescent="0.2">
      <c r="B55" s="10"/>
      <c r="C55" s="10" t="s">
        <v>82</v>
      </c>
      <c r="D55" s="10" t="s">
        <v>170</v>
      </c>
      <c r="E55" s="10" t="s">
        <v>171</v>
      </c>
      <c r="F55" s="10" t="s">
        <v>172</v>
      </c>
      <c r="G55" s="10" t="s">
        <v>173</v>
      </c>
      <c r="H55" s="10" t="s">
        <v>174</v>
      </c>
      <c r="I55" s="10" t="s">
        <v>175</v>
      </c>
    </row>
    <row r="56" spans="2:9" ht="15.75" customHeight="1" x14ac:dyDescent="0.2">
      <c r="B56" s="19" t="s">
        <v>199</v>
      </c>
      <c r="C56" s="15">
        <v>2</v>
      </c>
      <c r="D56" s="15">
        <v>0</v>
      </c>
      <c r="E56" s="15">
        <v>0</v>
      </c>
      <c r="F56" s="15">
        <v>0</v>
      </c>
      <c r="G56" s="15">
        <v>1</v>
      </c>
      <c r="H56" s="15">
        <v>1</v>
      </c>
      <c r="I56" s="20">
        <f t="shared" ref="I56:I59" si="6">SUM(D56:H56)</f>
        <v>2</v>
      </c>
    </row>
    <row r="57" spans="2:9" ht="15.75" customHeight="1" x14ac:dyDescent="0.2">
      <c r="B57" s="19" t="s">
        <v>200</v>
      </c>
      <c r="C57" s="15">
        <v>3</v>
      </c>
      <c r="D57" s="15">
        <v>1</v>
      </c>
      <c r="E57" s="15">
        <v>1</v>
      </c>
      <c r="F57" s="15">
        <v>1</v>
      </c>
      <c r="G57" s="15">
        <v>0</v>
      </c>
      <c r="H57" s="15">
        <v>0</v>
      </c>
      <c r="I57" s="20">
        <f t="shared" si="6"/>
        <v>3</v>
      </c>
    </row>
    <row r="58" spans="2:9" ht="15.75" customHeight="1" x14ac:dyDescent="0.2">
      <c r="B58" s="21" t="s">
        <v>201</v>
      </c>
      <c r="C58" s="15">
        <v>2</v>
      </c>
      <c r="D58" s="15">
        <v>0</v>
      </c>
      <c r="E58" s="15">
        <v>1</v>
      </c>
      <c r="F58" s="15">
        <v>1</v>
      </c>
      <c r="G58" s="15">
        <v>0</v>
      </c>
      <c r="H58" s="15">
        <v>0</v>
      </c>
      <c r="I58" s="20">
        <f t="shared" si="6"/>
        <v>2</v>
      </c>
    </row>
    <row r="59" spans="2:9" ht="15.75" customHeight="1" x14ac:dyDescent="0.2">
      <c r="B59" s="21" t="s">
        <v>202</v>
      </c>
      <c r="C59" s="15">
        <v>1</v>
      </c>
      <c r="D59" s="15">
        <v>0</v>
      </c>
      <c r="E59" s="15">
        <v>1</v>
      </c>
      <c r="F59" s="15">
        <v>0</v>
      </c>
      <c r="G59" s="15">
        <v>0</v>
      </c>
      <c r="H59" s="15">
        <v>0</v>
      </c>
      <c r="I59" s="20">
        <f t="shared" si="6"/>
        <v>1</v>
      </c>
    </row>
    <row r="60" spans="2:9" ht="15.75" customHeight="1" x14ac:dyDescent="0.2">
      <c r="B60" s="21"/>
      <c r="I60" s="20"/>
    </row>
    <row r="61" spans="2:9" ht="15.75" customHeight="1" x14ac:dyDescent="0.2">
      <c r="B61" s="21" t="s">
        <v>203</v>
      </c>
      <c r="C61" s="15">
        <v>3</v>
      </c>
      <c r="D61" s="15">
        <v>1</v>
      </c>
      <c r="E61" s="15">
        <v>1</v>
      </c>
      <c r="F61" s="15">
        <v>1</v>
      </c>
      <c r="G61" s="15">
        <v>0</v>
      </c>
      <c r="H61" s="15">
        <v>0</v>
      </c>
      <c r="I61" s="20">
        <f t="shared" ref="I61:I64" si="7">SUM(D61:H61)</f>
        <v>3</v>
      </c>
    </row>
    <row r="62" spans="2:9" ht="15.75" customHeight="1" x14ac:dyDescent="0.2">
      <c r="B62" s="21" t="s">
        <v>204</v>
      </c>
      <c r="C62" s="15">
        <v>2</v>
      </c>
      <c r="D62" s="15">
        <v>0</v>
      </c>
      <c r="E62" s="15">
        <v>1</v>
      </c>
      <c r="F62" s="15">
        <v>1</v>
      </c>
      <c r="G62" s="15">
        <v>0</v>
      </c>
      <c r="H62" s="15">
        <v>0</v>
      </c>
      <c r="I62" s="20">
        <f t="shared" si="7"/>
        <v>2</v>
      </c>
    </row>
    <row r="63" spans="2:9" ht="15.75" customHeight="1" x14ac:dyDescent="0.2">
      <c r="B63" s="21" t="s">
        <v>205</v>
      </c>
      <c r="C63" s="15">
        <v>2</v>
      </c>
      <c r="D63" s="15">
        <v>1</v>
      </c>
      <c r="E63" s="15">
        <v>1</v>
      </c>
      <c r="F63" s="15">
        <v>0</v>
      </c>
      <c r="G63" s="15">
        <v>0</v>
      </c>
      <c r="H63" s="15">
        <v>0</v>
      </c>
      <c r="I63" s="20">
        <f t="shared" si="7"/>
        <v>2</v>
      </c>
    </row>
    <row r="64" spans="2:9" ht="15.75" customHeight="1" x14ac:dyDescent="0.2">
      <c r="B64" s="21" t="s">
        <v>206</v>
      </c>
      <c r="C64" s="15">
        <v>1</v>
      </c>
      <c r="D64" s="15">
        <v>0</v>
      </c>
      <c r="E64" s="15">
        <v>1</v>
      </c>
      <c r="F64" s="15">
        <v>0</v>
      </c>
      <c r="G64" s="15">
        <v>0</v>
      </c>
      <c r="H64" s="15">
        <v>0</v>
      </c>
      <c r="I64" s="20">
        <f t="shared" si="7"/>
        <v>1</v>
      </c>
    </row>
    <row r="65" spans="2:9" ht="15.75" customHeight="1" x14ac:dyDescent="0.2">
      <c r="B65" s="21"/>
      <c r="I65" s="20"/>
    </row>
    <row r="66" spans="2:9" ht="15.75" customHeight="1" x14ac:dyDescent="0.2">
      <c r="B66" s="21" t="s">
        <v>207</v>
      </c>
      <c r="C66" s="15">
        <v>3</v>
      </c>
      <c r="D66" s="15">
        <v>1</v>
      </c>
      <c r="E66" s="15">
        <v>1</v>
      </c>
      <c r="F66" s="15">
        <v>1</v>
      </c>
      <c r="G66" s="15">
        <v>0</v>
      </c>
      <c r="H66" s="15">
        <v>0</v>
      </c>
      <c r="I66" s="20">
        <f t="shared" ref="I66:I69" si="8">SUM(D66:H66)</f>
        <v>3</v>
      </c>
    </row>
    <row r="67" spans="2:9" ht="15.75" customHeight="1" x14ac:dyDescent="0.2">
      <c r="B67" s="21" t="s">
        <v>208</v>
      </c>
      <c r="C67" s="15">
        <v>2</v>
      </c>
      <c r="D67" s="15">
        <v>0</v>
      </c>
      <c r="E67" s="15">
        <v>1</v>
      </c>
      <c r="F67" s="15">
        <v>1</v>
      </c>
      <c r="G67" s="15">
        <v>0</v>
      </c>
      <c r="H67" s="15">
        <v>0</v>
      </c>
      <c r="I67" s="20">
        <f t="shared" si="8"/>
        <v>2</v>
      </c>
    </row>
    <row r="68" spans="2:9" ht="15.75" customHeight="1" x14ac:dyDescent="0.2">
      <c r="B68" s="21" t="s">
        <v>209</v>
      </c>
      <c r="C68" s="15">
        <v>2</v>
      </c>
      <c r="D68" s="15">
        <v>0</v>
      </c>
      <c r="E68" s="15">
        <v>1</v>
      </c>
      <c r="F68" s="15">
        <v>1</v>
      </c>
      <c r="G68" s="15">
        <v>0</v>
      </c>
      <c r="H68" s="15">
        <v>0</v>
      </c>
      <c r="I68" s="20">
        <f t="shared" si="8"/>
        <v>2</v>
      </c>
    </row>
    <row r="69" spans="2:9" ht="15.75" customHeight="1" x14ac:dyDescent="0.2">
      <c r="B69" s="21" t="s">
        <v>210</v>
      </c>
      <c r="C69" s="15">
        <v>1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20">
        <f t="shared" si="8"/>
        <v>1</v>
      </c>
    </row>
    <row r="70" spans="2:9" ht="15.75" customHeight="1" x14ac:dyDescent="0.2">
      <c r="B70" s="21"/>
      <c r="I70" s="20"/>
    </row>
    <row r="71" spans="2:9" ht="15.75" customHeight="1" x14ac:dyDescent="0.2">
      <c r="B71" s="21" t="s">
        <v>211</v>
      </c>
      <c r="C71" s="15">
        <v>2</v>
      </c>
      <c r="D71" s="15">
        <v>0</v>
      </c>
      <c r="E71" s="15">
        <v>1</v>
      </c>
      <c r="F71" s="15">
        <v>1</v>
      </c>
      <c r="G71" s="15">
        <v>0</v>
      </c>
      <c r="H71" s="15">
        <v>0</v>
      </c>
      <c r="I71" s="20">
        <f t="shared" ref="I71:I74" si="9">SUM(D71:H71)</f>
        <v>2</v>
      </c>
    </row>
    <row r="72" spans="2:9" ht="15.75" customHeight="1" x14ac:dyDescent="0.2">
      <c r="B72" s="21" t="s">
        <v>212</v>
      </c>
      <c r="C72" s="15">
        <v>2</v>
      </c>
      <c r="D72" s="15">
        <v>1</v>
      </c>
      <c r="E72" s="15">
        <v>1</v>
      </c>
      <c r="F72" s="15">
        <v>0</v>
      </c>
      <c r="G72" s="15">
        <v>0</v>
      </c>
      <c r="H72" s="15">
        <v>0</v>
      </c>
      <c r="I72" s="20">
        <f t="shared" si="9"/>
        <v>2</v>
      </c>
    </row>
    <row r="73" spans="2:9" ht="15.75" customHeight="1" x14ac:dyDescent="0.2">
      <c r="B73" s="21" t="s">
        <v>213</v>
      </c>
      <c r="C73" s="15">
        <v>3</v>
      </c>
      <c r="D73" s="15">
        <v>1</v>
      </c>
      <c r="E73" s="15">
        <v>1</v>
      </c>
      <c r="F73" s="15">
        <v>1</v>
      </c>
      <c r="G73" s="15">
        <v>0</v>
      </c>
      <c r="H73" s="15">
        <v>0</v>
      </c>
      <c r="I73" s="20">
        <f t="shared" si="9"/>
        <v>3</v>
      </c>
    </row>
    <row r="74" spans="2:9" ht="15.75" customHeight="1" x14ac:dyDescent="0.2">
      <c r="B74" s="21" t="s">
        <v>214</v>
      </c>
      <c r="C74" s="15">
        <v>1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23">
        <f t="shared" si="9"/>
        <v>1</v>
      </c>
    </row>
    <row r="75" spans="2:9" ht="15.75" customHeight="1" x14ac:dyDescent="0.2">
      <c r="B75" s="21"/>
      <c r="I75" s="24"/>
    </row>
    <row r="76" spans="2:9" ht="15.75" customHeight="1" x14ac:dyDescent="0.2">
      <c r="B76" s="22" t="s">
        <v>196</v>
      </c>
      <c r="C76" s="10">
        <f t="shared" ref="C76:H76" si="10">SUM(C56:C74)</f>
        <v>32</v>
      </c>
      <c r="D76" s="10">
        <f t="shared" si="10"/>
        <v>6</v>
      </c>
      <c r="E76" s="10">
        <f t="shared" si="10"/>
        <v>15</v>
      </c>
      <c r="F76" s="10">
        <f t="shared" si="10"/>
        <v>9</v>
      </c>
      <c r="G76" s="10">
        <f t="shared" si="10"/>
        <v>1</v>
      </c>
      <c r="H76" s="10">
        <f t="shared" si="10"/>
        <v>1</v>
      </c>
      <c r="I76" s="24"/>
    </row>
    <row r="77" spans="2:9" ht="15.75" customHeight="1" x14ac:dyDescent="0.2">
      <c r="B77" s="22" t="s">
        <v>197</v>
      </c>
      <c r="C77" s="10">
        <f>SUM(C56:C74)</f>
        <v>32</v>
      </c>
      <c r="D77" s="10">
        <f>C77-(SUM(C56:C74)/5)</f>
        <v>25.6</v>
      </c>
      <c r="E77" s="10">
        <f>D77-(SUM(C56:C74)/5)</f>
        <v>19.200000000000003</v>
      </c>
      <c r="F77" s="10">
        <f>E77-(SUM(C56:C74)/5)</f>
        <v>12.800000000000002</v>
      </c>
      <c r="G77" s="10">
        <f>F77-(SUM(C56:C74)/5)</f>
        <v>6.4000000000000021</v>
      </c>
      <c r="H77" s="10">
        <f>G77-(SUM(C56:C74)/5)</f>
        <v>0</v>
      </c>
      <c r="I77" s="24"/>
    </row>
    <row r="78" spans="2:9" ht="15.75" customHeight="1" x14ac:dyDescent="0.2"/>
    <row r="79" spans="2:9" ht="15.75" customHeight="1" x14ac:dyDescent="0.2"/>
    <row r="80" spans="2:9" ht="15.75" customHeight="1" x14ac:dyDescent="0.2"/>
    <row r="81" spans="3:8" ht="15.75" customHeight="1" x14ac:dyDescent="0.2">
      <c r="C81" s="35" t="s">
        <v>198</v>
      </c>
      <c r="D81" s="34"/>
      <c r="E81" s="34"/>
      <c r="F81" s="34"/>
      <c r="G81" s="34"/>
      <c r="H81" s="34"/>
    </row>
    <row r="82" spans="3:8" ht="15.75" customHeight="1" x14ac:dyDescent="0.2">
      <c r="C82" s="34"/>
      <c r="D82" s="34"/>
      <c r="E82" s="34"/>
      <c r="F82" s="34"/>
      <c r="G82" s="34"/>
      <c r="H82" s="34"/>
    </row>
    <row r="83" spans="3:8" ht="15.75" customHeight="1" x14ac:dyDescent="0.2">
      <c r="C83" s="34"/>
      <c r="D83" s="34"/>
      <c r="E83" s="34"/>
      <c r="F83" s="34"/>
      <c r="G83" s="34"/>
      <c r="H83" s="34"/>
    </row>
    <row r="84" spans="3:8" ht="15.75" customHeight="1" x14ac:dyDescent="0.2">
      <c r="C84" s="34"/>
      <c r="D84" s="34"/>
      <c r="E84" s="34"/>
      <c r="F84" s="34"/>
      <c r="G84" s="34"/>
      <c r="H84" s="34"/>
    </row>
    <row r="85" spans="3:8" ht="15.75" customHeight="1" x14ac:dyDescent="0.2">
      <c r="C85" s="34"/>
      <c r="D85" s="34"/>
      <c r="E85" s="34"/>
      <c r="F85" s="34"/>
      <c r="G85" s="34"/>
      <c r="H85" s="34"/>
    </row>
    <row r="86" spans="3:8" ht="15.75" customHeight="1" x14ac:dyDescent="0.2">
      <c r="C86" s="34"/>
      <c r="D86" s="34"/>
      <c r="E86" s="34"/>
      <c r="F86" s="34"/>
      <c r="G86" s="34"/>
      <c r="H86" s="34"/>
    </row>
    <row r="87" spans="3:8" ht="15.75" customHeight="1" x14ac:dyDescent="0.2">
      <c r="C87" s="34"/>
      <c r="D87" s="34"/>
      <c r="E87" s="34"/>
      <c r="F87" s="34"/>
      <c r="G87" s="34"/>
      <c r="H87" s="34"/>
    </row>
    <row r="88" spans="3:8" ht="15.75" customHeight="1" x14ac:dyDescent="0.2">
      <c r="C88" s="34"/>
      <c r="D88" s="34"/>
      <c r="E88" s="34"/>
      <c r="F88" s="34"/>
      <c r="G88" s="34"/>
      <c r="H88" s="34"/>
    </row>
    <row r="89" spans="3:8" ht="15.75" customHeight="1" x14ac:dyDescent="0.2"/>
    <row r="90" spans="3:8" ht="15.75" customHeight="1" x14ac:dyDescent="0.2"/>
    <row r="91" spans="3:8" ht="15.75" customHeight="1" x14ac:dyDescent="0.2"/>
    <row r="92" spans="3:8" ht="15.75" customHeight="1" x14ac:dyDescent="0.2"/>
    <row r="93" spans="3:8" ht="15.75" customHeight="1" x14ac:dyDescent="0.2"/>
    <row r="94" spans="3:8" ht="15.75" customHeight="1" x14ac:dyDescent="0.2"/>
    <row r="95" spans="3:8" ht="15.75" customHeight="1" x14ac:dyDescent="0.2"/>
    <row r="96" spans="3:8" ht="15.75" customHeight="1" x14ac:dyDescent="0.2"/>
    <row r="97" spans="2:9" ht="15.75" customHeight="1" x14ac:dyDescent="0.2"/>
    <row r="98" spans="2:9" ht="15.75" customHeight="1" x14ac:dyDescent="0.2"/>
    <row r="99" spans="2:9" ht="15.75" customHeight="1" x14ac:dyDescent="0.2"/>
    <row r="100" spans="2:9" ht="15.75" customHeight="1" x14ac:dyDescent="0.2"/>
    <row r="101" spans="2:9" ht="15.75" customHeight="1" x14ac:dyDescent="0.2"/>
    <row r="102" spans="2:9" ht="15.75" customHeight="1" x14ac:dyDescent="0.2">
      <c r="B102" s="36" t="s">
        <v>227</v>
      </c>
      <c r="C102" s="34"/>
      <c r="D102" s="34"/>
      <c r="E102" s="34"/>
      <c r="F102" s="34"/>
      <c r="G102" s="34"/>
      <c r="H102" s="34"/>
      <c r="I102" s="34"/>
    </row>
    <row r="103" spans="2:9" ht="15.75" customHeight="1" x14ac:dyDescent="0.2">
      <c r="B103" s="34"/>
      <c r="C103" s="34"/>
      <c r="D103" s="34"/>
      <c r="E103" s="34"/>
      <c r="F103" s="34"/>
      <c r="G103" s="34"/>
      <c r="H103" s="34"/>
      <c r="I103" s="34"/>
    </row>
    <row r="104" spans="2:9" ht="15.75" customHeight="1" x14ac:dyDescent="0.2"/>
    <row r="105" spans="2:9" ht="15.75" customHeight="1" x14ac:dyDescent="0.2">
      <c r="B105" s="10"/>
      <c r="C105" s="10" t="s">
        <v>82</v>
      </c>
      <c r="D105" s="10" t="s">
        <v>170</v>
      </c>
      <c r="E105" s="10" t="s">
        <v>171</v>
      </c>
      <c r="F105" s="10" t="s">
        <v>172</v>
      </c>
      <c r="G105" s="10" t="s">
        <v>173</v>
      </c>
      <c r="H105" s="10" t="s">
        <v>174</v>
      </c>
      <c r="I105" s="10" t="s">
        <v>175</v>
      </c>
    </row>
    <row r="106" spans="2:9" ht="25.5" x14ac:dyDescent="0.2">
      <c r="B106" s="19" t="s">
        <v>254</v>
      </c>
      <c r="C106" s="15">
        <v>2</v>
      </c>
      <c r="D106" s="15">
        <v>0</v>
      </c>
      <c r="E106" s="15">
        <v>0</v>
      </c>
      <c r="F106" s="15">
        <v>0</v>
      </c>
      <c r="G106" s="15">
        <v>1</v>
      </c>
      <c r="H106" s="15">
        <v>1</v>
      </c>
      <c r="I106" s="20">
        <f t="shared" ref="I106:I109" si="11">SUM(D106:H106)</f>
        <v>2</v>
      </c>
    </row>
    <row r="107" spans="2:9" ht="25.5" x14ac:dyDescent="0.2">
      <c r="B107" s="19" t="s">
        <v>253</v>
      </c>
      <c r="C107" s="15">
        <v>2</v>
      </c>
      <c r="D107" s="15">
        <v>1</v>
      </c>
      <c r="E107" s="15">
        <v>1</v>
      </c>
      <c r="F107" s="15">
        <v>0</v>
      </c>
      <c r="G107" s="15">
        <v>0</v>
      </c>
      <c r="H107" s="15">
        <v>0</v>
      </c>
      <c r="I107" s="20">
        <f t="shared" si="11"/>
        <v>2</v>
      </c>
    </row>
    <row r="108" spans="2:9" ht="25.5" x14ac:dyDescent="0.2">
      <c r="B108" s="19" t="s">
        <v>252</v>
      </c>
      <c r="C108" s="15">
        <v>2</v>
      </c>
      <c r="D108" s="15">
        <v>0</v>
      </c>
      <c r="E108" s="15">
        <v>1</v>
      </c>
      <c r="F108" s="15">
        <v>1</v>
      </c>
      <c r="G108" s="15">
        <v>0</v>
      </c>
      <c r="H108" s="15">
        <v>0</v>
      </c>
      <c r="I108" s="20">
        <f t="shared" si="11"/>
        <v>2</v>
      </c>
    </row>
    <row r="109" spans="2:9" ht="25.5" x14ac:dyDescent="0.2">
      <c r="B109" s="19" t="s">
        <v>255</v>
      </c>
      <c r="C109" s="15">
        <v>2</v>
      </c>
      <c r="D109" s="15">
        <v>0</v>
      </c>
      <c r="E109" s="15">
        <v>1</v>
      </c>
      <c r="F109" s="15">
        <v>0</v>
      </c>
      <c r="G109" s="15">
        <v>1</v>
      </c>
      <c r="H109" s="15">
        <v>0</v>
      </c>
      <c r="I109" s="20">
        <f t="shared" si="11"/>
        <v>2</v>
      </c>
    </row>
    <row r="110" spans="2:9" ht="15.75" customHeight="1" x14ac:dyDescent="0.2">
      <c r="B110" s="21"/>
      <c r="I110" s="20"/>
    </row>
    <row r="111" spans="2:9" ht="25.5" x14ac:dyDescent="0.2">
      <c r="B111" s="19" t="s">
        <v>256</v>
      </c>
      <c r="C111" s="15">
        <v>1</v>
      </c>
      <c r="D111" s="15">
        <v>0</v>
      </c>
      <c r="E111" s="15">
        <v>0</v>
      </c>
      <c r="F111" s="15">
        <v>0</v>
      </c>
      <c r="G111" s="15">
        <v>0</v>
      </c>
      <c r="H111" s="15">
        <v>1</v>
      </c>
      <c r="I111" s="20">
        <f t="shared" ref="I111:I114" si="12">SUM(D111:H111)</f>
        <v>1</v>
      </c>
    </row>
    <row r="112" spans="2:9" ht="25.5" x14ac:dyDescent="0.2">
      <c r="B112" s="19" t="s">
        <v>257</v>
      </c>
      <c r="C112" s="15">
        <v>1</v>
      </c>
      <c r="D112" s="15">
        <v>0</v>
      </c>
      <c r="E112" s="15">
        <v>1</v>
      </c>
      <c r="F112" s="15">
        <v>0</v>
      </c>
      <c r="G112" s="15">
        <v>0</v>
      </c>
      <c r="H112" s="15">
        <v>0</v>
      </c>
      <c r="I112" s="20">
        <f t="shared" si="12"/>
        <v>1</v>
      </c>
    </row>
    <row r="113" spans="2:9" ht="25.5" x14ac:dyDescent="0.2">
      <c r="B113" s="19" t="s">
        <v>258</v>
      </c>
      <c r="C113" s="15">
        <v>1</v>
      </c>
      <c r="D113" s="15">
        <v>1</v>
      </c>
      <c r="E113" s="15">
        <v>0</v>
      </c>
      <c r="F113" s="15">
        <v>0</v>
      </c>
      <c r="G113" s="15">
        <v>0</v>
      </c>
      <c r="H113" s="15">
        <v>0</v>
      </c>
      <c r="I113" s="20">
        <f t="shared" si="12"/>
        <v>1</v>
      </c>
    </row>
    <row r="114" spans="2:9" ht="25.5" x14ac:dyDescent="0.2">
      <c r="B114" s="19" t="s">
        <v>259</v>
      </c>
      <c r="C114" s="15">
        <v>1</v>
      </c>
      <c r="D114" s="15">
        <v>1</v>
      </c>
      <c r="E114" s="15">
        <v>0</v>
      </c>
      <c r="F114" s="15">
        <v>0</v>
      </c>
      <c r="G114" s="15">
        <v>0</v>
      </c>
      <c r="H114" s="15">
        <v>0</v>
      </c>
      <c r="I114" s="20">
        <f t="shared" si="12"/>
        <v>1</v>
      </c>
    </row>
    <row r="115" spans="2:9" ht="15.75" customHeight="1" x14ac:dyDescent="0.2">
      <c r="B115" s="21"/>
      <c r="I115" s="20"/>
    </row>
    <row r="116" spans="2:9" ht="25.5" x14ac:dyDescent="0.2">
      <c r="B116" s="19" t="s">
        <v>260</v>
      </c>
      <c r="C116" s="15">
        <v>2</v>
      </c>
      <c r="D116" s="15">
        <v>0</v>
      </c>
      <c r="E116" s="15">
        <v>0</v>
      </c>
      <c r="F116" s="15">
        <v>1</v>
      </c>
      <c r="G116" s="15">
        <v>1</v>
      </c>
      <c r="H116" s="15">
        <v>0</v>
      </c>
      <c r="I116" s="20">
        <f t="shared" ref="I116:I119" si="13">SUM(D116:H116)</f>
        <v>2</v>
      </c>
    </row>
    <row r="117" spans="2:9" ht="25.5" x14ac:dyDescent="0.2">
      <c r="B117" s="19" t="s">
        <v>261</v>
      </c>
      <c r="C117" s="15">
        <v>2</v>
      </c>
      <c r="D117" s="15">
        <v>0</v>
      </c>
      <c r="E117" s="15">
        <v>1</v>
      </c>
      <c r="F117" s="15">
        <v>1</v>
      </c>
      <c r="G117" s="15">
        <v>0</v>
      </c>
      <c r="H117" s="15">
        <v>0</v>
      </c>
      <c r="I117" s="20">
        <f t="shared" si="13"/>
        <v>2</v>
      </c>
    </row>
    <row r="118" spans="2:9" ht="25.5" x14ac:dyDescent="0.2">
      <c r="B118" s="19" t="s">
        <v>262</v>
      </c>
      <c r="C118" s="15">
        <v>1</v>
      </c>
      <c r="D118" s="15">
        <v>0</v>
      </c>
      <c r="E118" s="15">
        <v>1</v>
      </c>
      <c r="F118" s="15">
        <v>0</v>
      </c>
      <c r="G118" s="15">
        <v>0</v>
      </c>
      <c r="H118" s="15">
        <v>0</v>
      </c>
      <c r="I118" s="20">
        <f t="shared" si="13"/>
        <v>1</v>
      </c>
    </row>
    <row r="119" spans="2:9" ht="25.5" x14ac:dyDescent="0.2">
      <c r="B119" s="19" t="s">
        <v>263</v>
      </c>
      <c r="C119" s="15">
        <v>1</v>
      </c>
      <c r="D119" s="15">
        <v>0</v>
      </c>
      <c r="E119" s="15">
        <v>1</v>
      </c>
      <c r="F119" s="15">
        <v>0</v>
      </c>
      <c r="G119" s="15">
        <v>0</v>
      </c>
      <c r="H119" s="15">
        <v>0</v>
      </c>
      <c r="I119" s="20">
        <f t="shared" si="13"/>
        <v>1</v>
      </c>
    </row>
    <row r="120" spans="2:9" ht="15.75" customHeight="1" x14ac:dyDescent="0.2">
      <c r="B120" s="21"/>
      <c r="I120" s="24"/>
    </row>
    <row r="121" spans="2:9" ht="15.75" customHeight="1" x14ac:dyDescent="0.2">
      <c r="B121" s="22" t="s">
        <v>196</v>
      </c>
      <c r="C121" s="10">
        <f t="shared" ref="C121:H121" si="14">SUM(C106:C119)</f>
        <v>18</v>
      </c>
      <c r="D121" s="10">
        <f t="shared" si="14"/>
        <v>3</v>
      </c>
      <c r="E121" s="10">
        <f t="shared" si="14"/>
        <v>7</v>
      </c>
      <c r="F121" s="10">
        <f t="shared" si="14"/>
        <v>3</v>
      </c>
      <c r="G121" s="10">
        <f t="shared" si="14"/>
        <v>3</v>
      </c>
      <c r="H121" s="10">
        <f t="shared" si="14"/>
        <v>2</v>
      </c>
      <c r="I121" s="24"/>
    </row>
    <row r="122" spans="2:9" ht="15.75" customHeight="1" x14ac:dyDescent="0.2">
      <c r="B122" s="22" t="s">
        <v>197</v>
      </c>
      <c r="C122" s="10">
        <f>SUM(C106:C119)</f>
        <v>18</v>
      </c>
      <c r="D122" s="10">
        <f>C122-(SUM(C106:C119)/5)</f>
        <v>14.4</v>
      </c>
      <c r="E122" s="10">
        <f>D122-(SUM(C106:C119)/5)</f>
        <v>10.8</v>
      </c>
      <c r="F122" s="10">
        <f>E122-(SUM(C106:C119)/5)</f>
        <v>7.2000000000000011</v>
      </c>
      <c r="G122" s="10">
        <f>F122-(SUM(C106:C119)/5)</f>
        <v>3.600000000000001</v>
      </c>
      <c r="H122" s="10">
        <f>G122-(SUM(C106:C119)/5)</f>
        <v>0</v>
      </c>
      <c r="I122" s="24"/>
    </row>
    <row r="123" spans="2:9" ht="15.75" customHeight="1" x14ac:dyDescent="0.2"/>
    <row r="124" spans="2:9" ht="15.75" customHeight="1" x14ac:dyDescent="0.2"/>
    <row r="125" spans="2:9" ht="15.75" customHeight="1" x14ac:dyDescent="0.2"/>
    <row r="126" spans="2:9" ht="15.75" customHeight="1" x14ac:dyDescent="0.2">
      <c r="C126" s="35" t="s">
        <v>198</v>
      </c>
      <c r="D126" s="34"/>
      <c r="E126" s="34"/>
      <c r="F126" s="34"/>
      <c r="G126" s="34"/>
      <c r="H126" s="34"/>
    </row>
    <row r="127" spans="2:9" ht="15.75" customHeight="1" x14ac:dyDescent="0.2">
      <c r="C127" s="34"/>
      <c r="D127" s="34"/>
      <c r="E127" s="34"/>
      <c r="F127" s="34"/>
      <c r="G127" s="34"/>
      <c r="H127" s="34"/>
    </row>
    <row r="128" spans="2:9" ht="15.75" customHeight="1" x14ac:dyDescent="0.2">
      <c r="C128" s="34"/>
      <c r="D128" s="34"/>
      <c r="E128" s="34"/>
      <c r="F128" s="34"/>
      <c r="G128" s="34"/>
      <c r="H128" s="34"/>
    </row>
    <row r="129" spans="3:8" ht="15.75" customHeight="1" x14ac:dyDescent="0.2">
      <c r="C129" s="34"/>
      <c r="D129" s="34"/>
      <c r="E129" s="34"/>
      <c r="F129" s="34"/>
      <c r="G129" s="34"/>
      <c r="H129" s="34"/>
    </row>
    <row r="130" spans="3:8" ht="15.75" customHeight="1" x14ac:dyDescent="0.2">
      <c r="C130" s="34"/>
      <c r="D130" s="34"/>
      <c r="E130" s="34"/>
      <c r="F130" s="34"/>
      <c r="G130" s="34"/>
      <c r="H130" s="34"/>
    </row>
    <row r="131" spans="3:8" ht="15.75" customHeight="1" x14ac:dyDescent="0.2">
      <c r="C131" s="34"/>
      <c r="D131" s="34"/>
      <c r="E131" s="34"/>
      <c r="F131" s="34"/>
      <c r="G131" s="34"/>
      <c r="H131" s="34"/>
    </row>
    <row r="132" spans="3:8" ht="15.75" customHeight="1" x14ac:dyDescent="0.2">
      <c r="C132" s="34"/>
      <c r="D132" s="34"/>
      <c r="E132" s="34"/>
      <c r="F132" s="34"/>
      <c r="G132" s="34"/>
      <c r="H132" s="34"/>
    </row>
    <row r="133" spans="3:8" ht="15.75" customHeight="1" x14ac:dyDescent="0.2">
      <c r="C133" s="34"/>
      <c r="D133" s="34"/>
      <c r="E133" s="34"/>
      <c r="F133" s="34"/>
      <c r="G133" s="34"/>
      <c r="H133" s="34"/>
    </row>
    <row r="134" spans="3:8" ht="15.75" customHeight="1" x14ac:dyDescent="0.2"/>
    <row r="135" spans="3:8" ht="15.75" customHeight="1" x14ac:dyDescent="0.2"/>
    <row r="136" spans="3:8" ht="15.75" customHeight="1" x14ac:dyDescent="0.2"/>
    <row r="137" spans="3:8" ht="15.75" customHeight="1" x14ac:dyDescent="0.2"/>
    <row r="138" spans="3:8" ht="15.75" customHeight="1" x14ac:dyDescent="0.2"/>
    <row r="139" spans="3:8" ht="15.75" customHeight="1" x14ac:dyDescent="0.2"/>
    <row r="140" spans="3:8" ht="15.75" customHeight="1" x14ac:dyDescent="0.2"/>
    <row r="141" spans="3:8" ht="15.75" customHeight="1" x14ac:dyDescent="0.2"/>
    <row r="142" spans="3:8" ht="15.75" customHeight="1" x14ac:dyDescent="0.2"/>
    <row r="143" spans="3:8" ht="15.75" customHeight="1" x14ac:dyDescent="0.2"/>
    <row r="144" spans="3:8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mergeCells count="5">
    <mergeCell ref="B31:G38"/>
    <mergeCell ref="C81:H88"/>
    <mergeCell ref="B52:I53"/>
    <mergeCell ref="B102:I103"/>
    <mergeCell ref="C126:H133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I985"/>
  <sheetViews>
    <sheetView workbookViewId="0"/>
  </sheetViews>
  <sheetFormatPr baseColWidth="10" defaultColWidth="12.7109375" defaultRowHeight="15" customHeight="1" x14ac:dyDescent="0.2"/>
  <cols>
    <col min="1" max="1" width="12.42578125" customWidth="1"/>
    <col min="2" max="2" width="24.42578125" customWidth="1"/>
    <col min="3" max="26" width="12.42578125" customWidth="1"/>
  </cols>
  <sheetData>
    <row r="1" spans="2:9" ht="15.75" customHeight="1" x14ac:dyDescent="0.2">
      <c r="B1" s="10"/>
      <c r="C1" s="10" t="s">
        <v>82</v>
      </c>
      <c r="D1" s="10" t="s">
        <v>170</v>
      </c>
      <c r="E1" s="10" t="s">
        <v>171</v>
      </c>
      <c r="F1" s="10" t="s">
        <v>172</v>
      </c>
      <c r="G1" s="10" t="s">
        <v>173</v>
      </c>
      <c r="H1" s="10" t="s">
        <v>174</v>
      </c>
      <c r="I1" s="10" t="s">
        <v>175</v>
      </c>
    </row>
    <row r="2" spans="2:9" ht="15.75" customHeight="1" x14ac:dyDescent="0.2">
      <c r="B2" s="19" t="s">
        <v>199</v>
      </c>
      <c r="C2" s="15">
        <v>2</v>
      </c>
      <c r="D2" s="15">
        <v>0</v>
      </c>
      <c r="E2" s="15">
        <v>0</v>
      </c>
      <c r="F2" s="15">
        <v>0</v>
      </c>
      <c r="G2" s="15">
        <v>1</v>
      </c>
      <c r="H2" s="15">
        <v>1</v>
      </c>
      <c r="I2" s="20">
        <f t="shared" ref="I2:I5" si="0">SUM(D2:H2)</f>
        <v>2</v>
      </c>
    </row>
    <row r="3" spans="2:9" ht="27" customHeight="1" x14ac:dyDescent="0.2">
      <c r="B3" s="19" t="s">
        <v>200</v>
      </c>
      <c r="C3" s="15">
        <v>3</v>
      </c>
      <c r="D3" s="15">
        <v>1</v>
      </c>
      <c r="E3" s="15">
        <v>1</v>
      </c>
      <c r="F3" s="15">
        <v>1</v>
      </c>
      <c r="G3" s="15">
        <v>0</v>
      </c>
      <c r="H3" s="15">
        <v>0</v>
      </c>
      <c r="I3" s="20">
        <f t="shared" si="0"/>
        <v>3</v>
      </c>
    </row>
    <row r="4" spans="2:9" ht="31.5" customHeight="1" x14ac:dyDescent="0.2">
      <c r="B4" s="21" t="s">
        <v>201</v>
      </c>
      <c r="C4" s="15">
        <v>2</v>
      </c>
      <c r="D4" s="15">
        <v>0</v>
      </c>
      <c r="E4" s="15">
        <v>1</v>
      </c>
      <c r="F4" s="15">
        <v>1</v>
      </c>
      <c r="G4" s="15">
        <v>0</v>
      </c>
      <c r="H4" s="15">
        <v>0</v>
      </c>
      <c r="I4" s="20">
        <f t="shared" si="0"/>
        <v>2</v>
      </c>
    </row>
    <row r="5" spans="2:9" ht="30.75" customHeight="1" x14ac:dyDescent="0.2">
      <c r="B5" s="21" t="s">
        <v>202</v>
      </c>
      <c r="C5" s="15">
        <v>1</v>
      </c>
      <c r="D5" s="15">
        <v>0</v>
      </c>
      <c r="E5" s="15">
        <v>1</v>
      </c>
      <c r="F5" s="15">
        <v>0</v>
      </c>
      <c r="G5" s="15">
        <v>0</v>
      </c>
      <c r="H5" s="15">
        <v>0</v>
      </c>
      <c r="I5" s="20">
        <f t="shared" si="0"/>
        <v>1</v>
      </c>
    </row>
    <row r="6" spans="2:9" ht="15.75" customHeight="1" x14ac:dyDescent="0.2">
      <c r="B6" s="21"/>
      <c r="I6" s="20"/>
    </row>
    <row r="7" spans="2:9" ht="15.75" customHeight="1" x14ac:dyDescent="0.2">
      <c r="B7" s="21" t="s">
        <v>203</v>
      </c>
      <c r="C7" s="15">
        <v>3</v>
      </c>
      <c r="D7" s="15">
        <v>1</v>
      </c>
      <c r="E7" s="15">
        <v>1</v>
      </c>
      <c r="F7" s="15">
        <v>1</v>
      </c>
      <c r="G7" s="15">
        <v>0</v>
      </c>
      <c r="H7" s="15">
        <v>0</v>
      </c>
      <c r="I7" s="20">
        <f t="shared" ref="I7:I10" si="1">SUM(D7:H7)</f>
        <v>3</v>
      </c>
    </row>
    <row r="8" spans="2:9" ht="15.75" customHeight="1" x14ac:dyDescent="0.2">
      <c r="B8" s="21" t="s">
        <v>204</v>
      </c>
      <c r="C8" s="15">
        <v>2</v>
      </c>
      <c r="D8" s="15">
        <v>0</v>
      </c>
      <c r="E8" s="15">
        <v>1</v>
      </c>
      <c r="F8" s="15">
        <v>1</v>
      </c>
      <c r="G8" s="15">
        <v>0</v>
      </c>
      <c r="H8" s="15">
        <v>0</v>
      </c>
      <c r="I8" s="20">
        <f t="shared" si="1"/>
        <v>2</v>
      </c>
    </row>
    <row r="9" spans="2:9" ht="15.75" customHeight="1" x14ac:dyDescent="0.2">
      <c r="B9" s="21" t="s">
        <v>205</v>
      </c>
      <c r="C9" s="15">
        <v>2</v>
      </c>
      <c r="D9" s="15">
        <v>1</v>
      </c>
      <c r="E9" s="15">
        <v>1</v>
      </c>
      <c r="F9" s="15">
        <v>0</v>
      </c>
      <c r="G9" s="15">
        <v>0</v>
      </c>
      <c r="H9" s="15">
        <v>0</v>
      </c>
      <c r="I9" s="20">
        <f t="shared" si="1"/>
        <v>2</v>
      </c>
    </row>
    <row r="10" spans="2:9" ht="15.75" customHeight="1" x14ac:dyDescent="0.2">
      <c r="B10" s="21" t="s">
        <v>206</v>
      </c>
      <c r="C10" s="15">
        <v>1</v>
      </c>
      <c r="D10" s="15">
        <v>0</v>
      </c>
      <c r="E10" s="15">
        <v>1</v>
      </c>
      <c r="F10" s="15">
        <v>0</v>
      </c>
      <c r="G10" s="15">
        <v>0</v>
      </c>
      <c r="H10" s="15">
        <v>0</v>
      </c>
      <c r="I10" s="20">
        <f t="shared" si="1"/>
        <v>1</v>
      </c>
    </row>
    <row r="11" spans="2:9" ht="15.75" customHeight="1" x14ac:dyDescent="0.2">
      <c r="B11" s="21"/>
      <c r="I11" s="20"/>
    </row>
    <row r="12" spans="2:9" ht="15.75" customHeight="1" x14ac:dyDescent="0.2">
      <c r="B12" s="21" t="s">
        <v>207</v>
      </c>
      <c r="C12" s="15">
        <v>3</v>
      </c>
      <c r="D12" s="15">
        <v>1</v>
      </c>
      <c r="E12" s="15">
        <v>1</v>
      </c>
      <c r="F12" s="15">
        <v>1</v>
      </c>
      <c r="G12" s="15">
        <v>0</v>
      </c>
      <c r="H12" s="15">
        <v>0</v>
      </c>
      <c r="I12" s="20">
        <f t="shared" ref="I12:I15" si="2">SUM(D12:H12)</f>
        <v>3</v>
      </c>
    </row>
    <row r="13" spans="2:9" ht="15.75" customHeight="1" x14ac:dyDescent="0.2">
      <c r="B13" s="21" t="s">
        <v>208</v>
      </c>
      <c r="C13" s="15">
        <v>2</v>
      </c>
      <c r="D13" s="15">
        <v>0</v>
      </c>
      <c r="E13" s="15">
        <v>1</v>
      </c>
      <c r="F13" s="15">
        <v>1</v>
      </c>
      <c r="G13" s="15">
        <v>0</v>
      </c>
      <c r="H13" s="15">
        <v>0</v>
      </c>
      <c r="I13" s="20">
        <f t="shared" si="2"/>
        <v>2</v>
      </c>
    </row>
    <row r="14" spans="2:9" ht="15.75" customHeight="1" x14ac:dyDescent="0.2">
      <c r="B14" s="21" t="s">
        <v>209</v>
      </c>
      <c r="C14" s="15">
        <v>2</v>
      </c>
      <c r="D14" s="15">
        <v>0</v>
      </c>
      <c r="E14" s="15">
        <v>1</v>
      </c>
      <c r="F14" s="15">
        <v>1</v>
      </c>
      <c r="G14" s="15">
        <v>0</v>
      </c>
      <c r="H14" s="15">
        <v>0</v>
      </c>
      <c r="I14" s="20">
        <f t="shared" si="2"/>
        <v>2</v>
      </c>
    </row>
    <row r="15" spans="2:9" ht="15.75" customHeight="1" x14ac:dyDescent="0.2">
      <c r="B15" s="21" t="s">
        <v>210</v>
      </c>
      <c r="C15" s="15">
        <v>1</v>
      </c>
      <c r="D15" s="15">
        <v>0</v>
      </c>
      <c r="E15" s="15">
        <v>1</v>
      </c>
      <c r="F15" s="15">
        <v>0</v>
      </c>
      <c r="G15" s="15">
        <v>0</v>
      </c>
      <c r="H15" s="15">
        <v>0</v>
      </c>
      <c r="I15" s="20">
        <f t="shared" si="2"/>
        <v>1</v>
      </c>
    </row>
    <row r="16" spans="2:9" ht="15.75" customHeight="1" x14ac:dyDescent="0.2">
      <c r="B16" s="21"/>
      <c r="I16" s="20"/>
    </row>
    <row r="17" spans="2:9" ht="15.75" customHeight="1" x14ac:dyDescent="0.2">
      <c r="B17" s="21" t="s">
        <v>211</v>
      </c>
      <c r="C17" s="15">
        <v>2</v>
      </c>
      <c r="D17" s="15">
        <v>0</v>
      </c>
      <c r="E17" s="15">
        <v>1</v>
      </c>
      <c r="F17" s="15">
        <v>1</v>
      </c>
      <c r="G17" s="15">
        <v>0</v>
      </c>
      <c r="H17" s="15">
        <v>0</v>
      </c>
      <c r="I17" s="20">
        <f t="shared" ref="I17:I20" si="3">SUM(D17:H17)</f>
        <v>2</v>
      </c>
    </row>
    <row r="18" spans="2:9" ht="15.75" customHeight="1" x14ac:dyDescent="0.2">
      <c r="B18" s="21" t="s">
        <v>212</v>
      </c>
      <c r="C18" s="15">
        <v>2</v>
      </c>
      <c r="D18" s="15">
        <v>1</v>
      </c>
      <c r="E18" s="15">
        <v>1</v>
      </c>
      <c r="F18" s="15">
        <v>0</v>
      </c>
      <c r="G18" s="15">
        <v>0</v>
      </c>
      <c r="H18" s="15">
        <v>0</v>
      </c>
      <c r="I18" s="20">
        <f t="shared" si="3"/>
        <v>2</v>
      </c>
    </row>
    <row r="19" spans="2:9" ht="15.75" customHeight="1" x14ac:dyDescent="0.2">
      <c r="B19" s="21" t="s">
        <v>213</v>
      </c>
      <c r="C19" s="15">
        <v>3</v>
      </c>
      <c r="D19" s="15">
        <v>1</v>
      </c>
      <c r="E19" s="15">
        <v>1</v>
      </c>
      <c r="F19" s="15">
        <v>1</v>
      </c>
      <c r="G19" s="15">
        <v>0</v>
      </c>
      <c r="H19" s="15">
        <v>0</v>
      </c>
      <c r="I19" s="20">
        <f t="shared" si="3"/>
        <v>3</v>
      </c>
    </row>
    <row r="20" spans="2:9" ht="15.75" customHeight="1" x14ac:dyDescent="0.2">
      <c r="B20" s="21" t="s">
        <v>214</v>
      </c>
      <c r="C20" s="15">
        <v>1</v>
      </c>
      <c r="D20" s="15">
        <v>0</v>
      </c>
      <c r="E20" s="15">
        <v>1</v>
      </c>
      <c r="F20" s="15">
        <v>0</v>
      </c>
      <c r="G20" s="15">
        <v>0</v>
      </c>
      <c r="H20" s="15">
        <v>0</v>
      </c>
      <c r="I20" s="23">
        <f t="shared" si="3"/>
        <v>1</v>
      </c>
    </row>
    <row r="21" spans="2:9" ht="15.75" customHeight="1" x14ac:dyDescent="0.2">
      <c r="B21" s="21"/>
      <c r="I21" s="24"/>
    </row>
    <row r="22" spans="2:9" ht="15.75" customHeight="1" x14ac:dyDescent="0.2">
      <c r="B22" s="22" t="s">
        <v>196</v>
      </c>
      <c r="C22" s="10">
        <f t="shared" ref="C22:H22" si="4">SUM(C2:C20)</f>
        <v>32</v>
      </c>
      <c r="D22" s="10">
        <f t="shared" si="4"/>
        <v>6</v>
      </c>
      <c r="E22" s="10">
        <f t="shared" si="4"/>
        <v>15</v>
      </c>
      <c r="F22" s="10">
        <f t="shared" si="4"/>
        <v>9</v>
      </c>
      <c r="G22" s="10">
        <f t="shared" si="4"/>
        <v>1</v>
      </c>
      <c r="H22" s="10">
        <f t="shared" si="4"/>
        <v>1</v>
      </c>
      <c r="I22" s="24"/>
    </row>
    <row r="23" spans="2:9" ht="15.75" customHeight="1" x14ac:dyDescent="0.2">
      <c r="B23" s="22" t="s">
        <v>197</v>
      </c>
      <c r="C23" s="10">
        <f>SUM(C2:C20)</f>
        <v>32</v>
      </c>
      <c r="D23" s="10">
        <f>C23-(SUM(C2:C20)/5)</f>
        <v>25.6</v>
      </c>
      <c r="E23" s="10">
        <f>D23-(SUM(C2:C20)/5)</f>
        <v>19.200000000000003</v>
      </c>
      <c r="F23" s="10">
        <f>E23-(SUM(C2:C20)/5)</f>
        <v>12.800000000000002</v>
      </c>
      <c r="G23" s="10">
        <f>F23-(SUM(C2:C20)/5)</f>
        <v>6.4000000000000021</v>
      </c>
      <c r="H23" s="10">
        <f>G23-(SUM(C2:C20)/5)</f>
        <v>0</v>
      </c>
      <c r="I23" s="24"/>
    </row>
    <row r="24" spans="2:9" ht="15.75" customHeight="1" x14ac:dyDescent="0.2">
      <c r="B24" s="21"/>
      <c r="C24" s="15"/>
      <c r="D24" s="15"/>
      <c r="E24" s="15"/>
      <c r="F24" s="15"/>
      <c r="G24" s="15"/>
      <c r="H24" s="15"/>
      <c r="I24" s="24"/>
    </row>
    <row r="25" spans="2:9" ht="15.75" customHeight="1" x14ac:dyDescent="0.2">
      <c r="B25" s="21"/>
      <c r="C25" s="15"/>
      <c r="D25" s="15"/>
      <c r="E25" s="15"/>
      <c r="F25" s="15"/>
      <c r="G25" s="15"/>
      <c r="H25" s="15"/>
      <c r="I25" s="24"/>
    </row>
    <row r="26" spans="2:9" ht="15.75" customHeight="1" x14ac:dyDescent="0.2"/>
    <row r="27" spans="2:9" ht="15.75" customHeight="1" x14ac:dyDescent="0.2"/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>
      <c r="B31" s="35" t="s">
        <v>198</v>
      </c>
      <c r="C31" s="34"/>
      <c r="D31" s="34"/>
      <c r="E31" s="34"/>
      <c r="F31" s="34"/>
      <c r="G31" s="34"/>
    </row>
    <row r="32" spans="2:9" ht="15.75" customHeight="1" x14ac:dyDescent="0.2">
      <c r="B32" s="34"/>
      <c r="C32" s="34"/>
      <c r="D32" s="34"/>
      <c r="E32" s="34"/>
      <c r="F32" s="34"/>
      <c r="G32" s="34"/>
    </row>
    <row r="33" spans="2:7" ht="15.75" customHeight="1" x14ac:dyDescent="0.2">
      <c r="B33" s="34"/>
      <c r="C33" s="34"/>
      <c r="D33" s="34"/>
      <c r="E33" s="34"/>
      <c r="F33" s="34"/>
      <c r="G33" s="34"/>
    </row>
    <row r="34" spans="2:7" ht="15.75" customHeight="1" x14ac:dyDescent="0.2">
      <c r="B34" s="34"/>
      <c r="C34" s="34"/>
      <c r="D34" s="34"/>
      <c r="E34" s="34"/>
      <c r="F34" s="34"/>
      <c r="G34" s="34"/>
    </row>
    <row r="35" spans="2:7" ht="15.75" customHeight="1" x14ac:dyDescent="0.2">
      <c r="B35" s="34"/>
      <c r="C35" s="34"/>
      <c r="D35" s="34"/>
      <c r="E35" s="34"/>
      <c r="F35" s="34"/>
      <c r="G35" s="34"/>
    </row>
    <row r="36" spans="2:7" ht="15.75" customHeight="1" x14ac:dyDescent="0.2">
      <c r="B36" s="34"/>
      <c r="C36" s="34"/>
      <c r="D36" s="34"/>
      <c r="E36" s="34"/>
      <c r="F36" s="34"/>
      <c r="G36" s="34"/>
    </row>
    <row r="37" spans="2:7" ht="15.75" customHeight="1" x14ac:dyDescent="0.2">
      <c r="B37" s="34"/>
      <c r="C37" s="34"/>
      <c r="D37" s="34"/>
      <c r="E37" s="34"/>
      <c r="F37" s="34"/>
      <c r="G37" s="34"/>
    </row>
    <row r="38" spans="2:7" ht="15.75" customHeight="1" x14ac:dyDescent="0.2">
      <c r="B38" s="34"/>
      <c r="C38" s="34"/>
      <c r="D38" s="34"/>
      <c r="E38" s="34"/>
      <c r="F38" s="34"/>
      <c r="G38" s="34"/>
    </row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B31:G38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sprint0</vt:lpstr>
      <vt:lpstr>burdonchart</vt:lpstr>
      <vt:lpstr>burdonchart2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Samir Mideros</cp:lastModifiedBy>
  <dcterms:created xsi:type="dcterms:W3CDTF">2023-06-05T13:12:31Z</dcterms:created>
  <dcterms:modified xsi:type="dcterms:W3CDTF">2026-01-22T02:13:36Z</dcterms:modified>
</cp:coreProperties>
</file>