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<sst xmlns="http://schemas.openxmlformats.org/spreadsheetml/2006/main" count="195" uniqueCount="145">
  <si>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</si>
  <si>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</si>
  <si>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</si>
  <si>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</si>
  <si>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</si>
  <si>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</si>
  <si>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</si>
  <si>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</si>
  <si>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</si>
  <si>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</si>
  <si>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</si>
  <si>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</si>
  <si>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</si>
  <si>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</si>
  <si>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</si>
  <si>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</si>
  <si>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Los usuarios no tienen un mecanismo seguro para ingresar al sistema y diferenciar sus roles.</t>
  </si>
  <si>
    <t>Implementar autenticación basada en credenciales según el tipo de usuario.</t>
  </si>
  <si>
    <t>Permitir el acceso seguro, evitar suplantación y dirigir a cada rol al módulo correspondiente.</t>
  </si>
  <si>
    <t>Jefe de Ticketera, Contadora, Staff.</t>
  </si>
  <si>
    <t>El sistema presenta un formulario donde el usuario ingresa sus credenciales; valida la información según su rol, crea una sesión segura y lo redirige a la interfaz que le corresponde, garantizando acceso solo a las funciones permitidas.</t>
  </si>
  <si>
    <t>David Moran</t>
  </si>
  <si>
    <t>6h</t>
  </si>
  <si>
    <t>Alta</t>
  </si>
  <si>
    <t>Terminado</t>
  </si>
  <si>
    <t>Caja negra: probar login válido/ inválido y revisar que el sistema dirija al módulo correcto.</t>
  </si>
  <si>
    <t>Asegura acceso seguro y control por rol, tal como exige el documento base.</t>
  </si>
  <si>
    <t>Acceder al Sistema</t>
  </si>
  <si>
    <t>RF02</t>
  </si>
  <si>
    <t>No existe un registro oficial del personal dentro del sistema para validar comprobantes posteriormente.</t>
  </si>
  <si>
    <t>Cargar el archivo Excel que contiene cédulas, nombres, correos y montos asignados al staff del evento.</t>
  </si>
  <si>
    <t>Contar con información autorizada que se usará para cruces de validación y evitar errores o fraude.</t>
  </si>
  <si>
    <t>Jefe de Ticketera.</t>
  </si>
  <si>
    <t>El usuario selecciona el archivo Excel del evento; el sistema verifica que el formato sea válido y que contenga las columnas necesarias (cédula, nombre, correo y montos). Después de validar la estructura, procesa cada registro y lo guarda en la base de datos como información oficial del staff para ese evento.</t>
  </si>
  <si>
    <t>5h</t>
  </si>
  <si>
    <t>Caja negra: subir un Excel correcto y uno corrupto para comprobar validación.</t>
  </si>
  <si>
    <t>Necesario para garantizar datos oficiales.</t>
  </si>
  <si>
    <t>Importar Archivo del Staff</t>
  </si>
  <si>
    <t>RF03</t>
  </si>
  <si>
    <t>La organización no mantiene un registro digital de los comprobantes presentados por el personal.</t>
  </si>
  <si>
    <t>Permitir que el usuario ingrese manualmente los datos del comprobante.</t>
  </si>
  <si>
    <t>Crear un registro digital estructurado que pueda ser validado por el sistema y por contabilidad.</t>
  </si>
  <si>
    <t>Staff</t>
  </si>
  <si>
    <t>El usuario llena un formulario con número, fecha, proveedor, monto y descripción; el sistema valida campos y guarda el comprobante.</t>
  </si>
  <si>
    <t>Registrar factura con datos correctos/incorrectos y verificar respuesta. Criterio: campos obligatorios.</t>
  </si>
  <si>
    <t>Sin este registro no existe flujo de validación posterior.</t>
  </si>
  <si>
    <t>Registro de Comprobante Digital</t>
  </si>
  <si>
    <t>RF04</t>
  </si>
  <si>
    <t>Sin evidencia visual de la factura, la validación es incompleta o poco confiable.</t>
  </si>
  <si>
    <t>Permitir subir la imagen o PDF del comprobante real.</t>
  </si>
  <si>
    <t>Validar autenticidad y guardar evidencia para auditorías posteriores.</t>
  </si>
  <si>
    <t>Staff.</t>
  </si>
  <si>
    <t>El usuario adjunta el archivo; el sistema revisa formato, peso y extensión; genera enlace de almacenamiento y relaciona el archivo al comprobante.</t>
  </si>
  <si>
    <t>4h</t>
  </si>
  <si>
    <t>Caja negra: subir archivo permitido/no permitido. Caja gris: validar nombre/estructura del archivo.</t>
  </si>
  <si>
    <t>El documento digital respalda todo el proceso contable.</t>
  </si>
  <si>
    <t>Cargar Documento de Comprobante</t>
  </si>
  <si>
    <t>RF05</t>
  </si>
  <si>
    <t>Una factura podría ser ingresada por un trabajador al que no pertenece.</t>
  </si>
  <si>
    <t>Comparar datos de la factura con los datos oficiales importados del Excel.</t>
  </si>
  <si>
    <t>Asegurar que el gasto registrado corresponde al trabajador correcto.</t>
  </si>
  <si>
    <t>Jefe de Ticketera, Contadora.</t>
  </si>
  <si>
    <t>El sistema verifica coincidencia de nombre, cédula, monto asignado y otros parámetros claves del Excel.</t>
  </si>
  <si>
    <t>Caja negra: factura válida vs factura con datos distintos al Excel. Criterio: coincidencia de campos críticos.</t>
  </si>
  <si>
    <t>Validación primaria del sistema.</t>
  </si>
  <si>
    <t>Verificación Contra Datos Oficiales</t>
  </si>
  <si>
    <t>RF06</t>
  </si>
  <si>
    <t>El usuario podría escribir datos erróneos o manipulados en el formulario.</t>
  </si>
  <si>
    <t>Asegurar que los datos digitados coinciden con el documento subido.</t>
  </si>
  <si>
    <t>Evitar inconsistencias y detección temprana de manipulación o fraude.</t>
  </si>
  <si>
    <t>Jefe Ticketera, Contadora.</t>
  </si>
  <si>
    <t>El sistema compara los datos ingresados en el formulario como proveedor, fecha, monto y número del comprobante con la información visible en el archivo subido (imagen o PDF). Esta verificación permite detectar diferencias entre lo declarado por el usuario y el documento real.</t>
  </si>
  <si>
    <t>Caja gris: comparar datos del formulario vs OCR, o lectura de campos básicos del documento. Criterio: diferencias detectadas generan alerta.</t>
  </si>
  <si>
    <t>Segunda capa de validación</t>
  </si>
  <si>
    <t>Validación Contra Documento Real</t>
  </si>
  <si>
    <t>RF07</t>
  </si>
  <si>
    <t>El staff no puede saber si su comprobante fue aceptado o rechazado.</t>
  </si>
  <si>
    <t>Mostrar estado de validación.</t>
  </si>
  <si>
    <t>Informar el avance del proceso y evitar que el usuario pregunte manualmente.</t>
  </si>
  <si>
    <t>El sistema consulta en la base de datos el estado actualizado del comprobante y devuelve esta información a la interfaz del usuario, mostrándole si su documento está aprobado, pendiente o rechazado.</t>
  </si>
  <si>
    <t>3h</t>
  </si>
  <si>
    <t>Caja negra: cambiar estado y confirmar que se visualiza correctamente.</t>
  </si>
  <si>
    <t>Mejora experiencia del usuario.</t>
  </si>
  <si>
    <t>Consultar Estado de Comprobante</t>
  </si>
  <si>
    <t>RF08</t>
  </si>
  <si>
    <t>El trabajador desconoce si su pago ya fue procesado.</t>
  </si>
  <si>
    <t>Mostrar el estado del pago del evento.</t>
  </si>
  <si>
    <t>Transparentar el proceso de compensación.</t>
  </si>
  <si>
    <t>El sistema verifica en la base de datos si el pago asociado al evento sigue pendiente o ya fue procesado, y muestra esta información directamente en la interfaz del usuario para que pueda conocer su estado actual.</t>
  </si>
  <si>
    <t>Caja negra: simular cambios de estado y revisar visualización.</t>
  </si>
  <si>
    <t>Punto clave del proceso financiero.</t>
  </si>
  <si>
    <t>Consultar Estado del Pago</t>
  </si>
  <si>
    <t>RF09</t>
  </si>
  <si>
    <t>La contadora procesa pagos manualmente y sin control digital.</t>
  </si>
  <si>
    <t>Generar y gestionar lista de pagos pendientes.</t>
  </si>
  <si>
    <t>Procesar pagos de manera ordenada, con respaldos y trazabilidad.</t>
  </si>
  <si>
    <t>Contadora.</t>
  </si>
  <si>
    <t>El sistema muestra una lista de pagos pendientes del staff; la contadora selecciona el pago que desea procesar, adjunta el comprobante correspondiente como evidencia y, una vez verificada la información, registra el pago como “Procesado” dentro del sistema.</t>
  </si>
  <si>
    <t>Samir Mideros</t>
  </si>
  <si>
    <t>14h</t>
  </si>
  <si>
    <t>Caja negra: confirmar pago y verificar actualización en historial.</t>
  </si>
  <si>
    <t>Cierra flujo principal de remuneración.</t>
  </si>
  <si>
    <t>Procesar Pagos al Staff</t>
  </si>
  <si>
    <t>RF10</t>
  </si>
  <si>
    <t>Hay pagos que no están asociados a notas de venta.</t>
  </si>
  <si>
    <t>Registrar estos pagos dentro del sistema.</t>
  </si>
  <si>
    <t>Dejar constancia y mantener historial completo.</t>
  </si>
  <si>
    <t>La contadora selecciona al miembro del staff al que desea registrar un pago manual, ingresa el monto y el concepto correspondiente, adjunta el comprobante como evidencia y finalmente guarda la información para que el sistema cree el registro del pago.</t>
  </si>
  <si>
    <t>8h</t>
  </si>
  <si>
    <t xml:space="preserve">Media </t>
  </si>
  <si>
    <t>Caja negra: registrar pago manual y verificar inserción en historial.</t>
  </si>
  <si>
    <t>Útil para casos fuera del flujo común.</t>
  </si>
  <si>
    <t>Registrar Pago Excepcional</t>
  </si>
  <si>
    <t>RF11</t>
  </si>
  <si>
    <t>No existe un registro digital de gastos operativos para auditoría.</t>
  </si>
  <si>
    <t>Registrar egresos con comprobantes.</t>
  </si>
  <si>
    <t>Llevar control financiero organizado y verificable.</t>
  </si>
  <si>
    <t>El usuario ingresa la fecha del gasto, el monto correspondiente, una breve descripción o concepto, y selecciona el evento al que pertenece. Luego adjunta el documento de respaldo como factura o comprobante digital para garantizar la validez del registro antes de guardarlo en el sistema.</t>
  </si>
  <si>
    <t>Caja negra: registrar un gasto y verificar que aparezca inmediatamente en el historial.</t>
  </si>
  <si>
    <t>Alimenta reportes y balances.</t>
  </si>
  <si>
    <t>Registro General de Gastos</t>
  </si>
  <si>
    <t>RF12</t>
  </si>
  <si>
    <t>Sin filtros, es difícil encontrar gastos específicos o generar auditorías.</t>
  </si>
  <si>
    <t>Permitir búsqueda y filtrado de registros</t>
  </si>
  <si>
    <t>Facilitar auditorías, revisiones y análisis financieros.</t>
  </si>
  <si>
    <t>El usuario aplica filtros como fecha, evento, monto o proveedor para refinar la búsqueda de gastos registrados. Una vez seleccionados los criterios, el sistema procesa la solicitud y presenta los resultados de forma ordenada y fácil de revisar, facilitando el análisis y la auditoría.</t>
  </si>
  <si>
    <t>Caja negra: filtrar registros por un rango y validar coincidencias.</t>
  </si>
  <si>
    <t>Fundamental para control financiero.</t>
  </si>
  <si>
    <t>Historial de Gastos</t>
  </si>
  <si>
    <t>RF13</t>
  </si>
  <si>
    <t>RF14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</si>
  <si>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</si>
  <si>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</si>
  <si>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</si>
  <si>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</si>
  <si>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</si>
  <si>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</si>
  <si>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</si>
  <si>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</si>
  <si>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</si>
  <si>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</si>
  <si>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</si>
  <si>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º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</si>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</sst>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8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4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 shrinkToFit="0" wrapText="1"/>
    </xf>
    <xf borderId="4" fillId="3" fontId="5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left" shrinkToFit="0" vertical="center" wrapText="1"/>
    </xf>
    <xf borderId="0" fillId="0" fontId="11" numFmtId="0" xfId="0" applyFont="1"/>
    <xf borderId="1" fillId="5" fontId="12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0" fillId="0" fontId="10" numFmtId="0" xfId="0" applyAlignment="1" applyFont="1">
      <alignment horizontal="center" shrinkToFit="0" vertical="center" wrapText="1"/>
    </xf>
    <xf borderId="5" fillId="5" fontId="13" numFmtId="0" xfId="0" applyBorder="1" applyFont="1"/>
    <xf borderId="6" fillId="5" fontId="10" numFmtId="0" xfId="0" applyAlignment="1" applyBorder="1" applyFont="1">
      <alignment horizontal="left" shrinkToFit="0" vertical="center" wrapText="1"/>
    </xf>
    <xf borderId="6" fillId="5" fontId="11" numFmtId="0" xfId="0" applyBorder="1" applyFont="1"/>
    <xf borderId="6" fillId="5" fontId="13" numFmtId="0" xfId="0" applyBorder="1" applyFont="1"/>
    <xf borderId="7" fillId="5" fontId="13" numFmtId="0" xfId="0" applyBorder="1" applyFont="1"/>
    <xf borderId="8" fillId="5" fontId="13" numFmtId="0" xfId="0" applyBorder="1" applyFont="1"/>
    <xf borderId="4" fillId="6" fontId="14" numFmtId="0" xfId="0" applyAlignment="1" applyBorder="1" applyFill="1" applyFont="1">
      <alignment horizontal="center" vertical="center"/>
    </xf>
    <xf borderId="9" fillId="5" fontId="15" numFmtId="0" xfId="0" applyAlignment="1" applyBorder="1" applyFont="1">
      <alignment vertical="center"/>
    </xf>
    <xf borderId="1" fillId="6" fontId="14" numFmtId="0" xfId="0" applyAlignment="1" applyBorder="1" applyFont="1">
      <alignment horizontal="center" vertical="center"/>
    </xf>
    <xf borderId="9" fillId="5" fontId="13" numFmtId="0" xfId="0" applyBorder="1" applyFont="1"/>
    <xf borderId="10" fillId="5" fontId="13" numFmtId="0" xfId="0" applyBorder="1" applyFont="1"/>
    <xf borderId="4" fillId="7" fontId="16" numFmtId="0" xfId="0" applyAlignment="1" applyBorder="1" applyFill="1" applyFont="1">
      <alignment horizontal="center" readingOrder="0" vertical="center"/>
    </xf>
    <xf borderId="9" fillId="5" fontId="11" numFmtId="0" xfId="0" applyAlignment="1" applyBorder="1" applyFont="1">
      <alignment shrinkToFit="0" vertical="center" wrapText="1"/>
    </xf>
    <xf borderId="1" fillId="7" fontId="11" numFmtId="0" xfId="0" applyAlignment="1" applyBorder="1" applyFont="1">
      <alignment horizontal="center" vertical="center"/>
    </xf>
    <xf borderId="9" fillId="5" fontId="11" numFmtId="0" xfId="0" applyAlignment="1" applyBorder="1" applyFont="1">
      <alignment vertical="center"/>
    </xf>
    <xf borderId="9" fillId="5" fontId="16" numFmtId="0" xfId="0" applyAlignment="1" applyBorder="1" applyFont="1">
      <alignment horizontal="center" vertical="center"/>
    </xf>
    <xf borderId="9" fillId="5" fontId="11" numFmtId="0" xfId="0" applyAlignment="1" applyBorder="1" applyFont="1">
      <alignment horizontal="center" vertical="center"/>
    </xf>
    <xf borderId="4" fillId="7" fontId="16" numFmtId="0" xfId="0" applyAlignment="1" applyBorder="1" applyFont="1">
      <alignment horizontal="center" vertical="center"/>
    </xf>
    <xf borderId="11" fillId="8" fontId="14" numFmtId="0" xfId="0" applyAlignment="1" applyBorder="1" applyFill="1" applyFont="1">
      <alignment horizontal="center" vertical="center"/>
    </xf>
    <xf borderId="12" fillId="7" fontId="11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3" numFmtId="0" xfId="0" applyAlignment="1" applyBorder="1" applyFont="1">
      <alignment horizontal="center"/>
    </xf>
    <xf borderId="14" fillId="0" fontId="3" numFmtId="0" xfId="0" applyBorder="1" applyFont="1"/>
    <xf borderId="12" fillId="7" fontId="11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3" numFmtId="0" xfId="0" applyAlignment="1" applyFont="1">
      <alignment readingOrder="0"/>
    </xf>
    <xf borderId="12" fillId="9" fontId="17" numFmtId="0" xfId="0" applyAlignment="1" applyBorder="1" applyFill="1" applyFont="1">
      <alignment horizontal="center" vertical="center"/>
    </xf>
    <xf borderId="22" fillId="2" fontId="16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4" numFmtId="0" xfId="0" applyAlignment="1" applyBorder="1" applyFont="1">
      <alignment horizontal="center" vertical="center"/>
    </xf>
    <xf borderId="12" fillId="7" fontId="11" numFmtId="49" xfId="0" applyAlignment="1" applyBorder="1" applyFont="1" applyNumberFormat="1">
      <alignment horizontal="left" shrinkToFit="0" vertical="center" wrapText="1"/>
    </xf>
    <xf borderId="28" fillId="5" fontId="13" numFmtId="0" xfId="0" applyBorder="1" applyFont="1"/>
    <xf borderId="29" fillId="5" fontId="13" numFmtId="0" xfId="0" applyBorder="1" applyFont="1"/>
    <xf borderId="30" fillId="5" fontId="13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4.6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7.5" customHeight="1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 t="s">
        <v>22</v>
      </c>
      <c r="J6" s="10">
        <v>45979.0</v>
      </c>
      <c r="K6" s="9" t="s">
        <v>23</v>
      </c>
      <c r="L6" s="9" t="s">
        <v>24</v>
      </c>
      <c r="M6" s="11" t="s">
        <v>25</v>
      </c>
      <c r="N6" s="12" t="s">
        <v>26</v>
      </c>
      <c r="O6" s="9" t="s">
        <v>27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12.5" customHeight="1">
      <c r="A7" s="1"/>
      <c r="B7" s="8" t="s">
        <v>28</v>
      </c>
      <c r="C7" s="9" t="s">
        <v>29</v>
      </c>
      <c r="D7" s="9" t="s">
        <v>30</v>
      </c>
      <c r="E7" s="9" t="s">
        <v>31</v>
      </c>
      <c r="F7" s="9" t="s">
        <v>32</v>
      </c>
      <c r="G7" s="13" t="s">
        <v>33</v>
      </c>
      <c r="H7" s="9" t="s">
        <v>21</v>
      </c>
      <c r="I7" s="9" t="s">
        <v>34</v>
      </c>
      <c r="J7" s="10">
        <v>45979.0</v>
      </c>
      <c r="K7" s="9" t="s">
        <v>23</v>
      </c>
      <c r="L7" s="9" t="s">
        <v>24</v>
      </c>
      <c r="M7" s="9" t="s">
        <v>35</v>
      </c>
      <c r="N7" s="12" t="s">
        <v>36</v>
      </c>
      <c r="O7" s="9" t="s">
        <v>37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7.5" customHeight="1">
      <c r="A8" s="1"/>
      <c r="B8" s="8" t="s">
        <v>38</v>
      </c>
      <c r="C8" s="9" t="s">
        <v>39</v>
      </c>
      <c r="D8" s="9" t="s">
        <v>40</v>
      </c>
      <c r="E8" s="9" t="s">
        <v>41</v>
      </c>
      <c r="F8" s="9" t="s">
        <v>42</v>
      </c>
      <c r="G8" s="13" t="s">
        <v>43</v>
      </c>
      <c r="H8" s="9" t="s">
        <v>21</v>
      </c>
      <c r="I8" s="9" t="s">
        <v>22</v>
      </c>
      <c r="J8" s="10">
        <v>45979.0</v>
      </c>
      <c r="K8" s="9" t="s">
        <v>23</v>
      </c>
      <c r="L8" s="9" t="s">
        <v>24</v>
      </c>
      <c r="M8" s="9" t="s">
        <v>44</v>
      </c>
      <c r="N8" s="12" t="s">
        <v>45</v>
      </c>
      <c r="O8" s="9" t="s">
        <v>46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5.75" customHeight="1">
      <c r="A9" s="1"/>
      <c r="B9" s="8" t="s">
        <v>47</v>
      </c>
      <c r="C9" s="9" t="s">
        <v>48</v>
      </c>
      <c r="D9" s="13" t="s">
        <v>49</v>
      </c>
      <c r="E9" s="9" t="s">
        <v>50</v>
      </c>
      <c r="F9" s="9" t="s">
        <v>51</v>
      </c>
      <c r="G9" s="13" t="s">
        <v>52</v>
      </c>
      <c r="H9" s="9" t="s">
        <v>21</v>
      </c>
      <c r="I9" s="9" t="s">
        <v>53</v>
      </c>
      <c r="J9" s="10">
        <v>45979.0</v>
      </c>
      <c r="K9" s="9" t="s">
        <v>23</v>
      </c>
      <c r="L9" s="9" t="s">
        <v>24</v>
      </c>
      <c r="M9" s="9" t="s">
        <v>54</v>
      </c>
      <c r="N9" s="12" t="s">
        <v>55</v>
      </c>
      <c r="O9" s="9" t="s">
        <v>56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8.25" customHeight="1">
      <c r="A10" s="1"/>
      <c r="B10" s="8" t="s">
        <v>57</v>
      </c>
      <c r="C10" s="9" t="s">
        <v>58</v>
      </c>
      <c r="D10" s="9" t="s">
        <v>59</v>
      </c>
      <c r="E10" s="9" t="s">
        <v>60</v>
      </c>
      <c r="F10" s="9" t="s">
        <v>61</v>
      </c>
      <c r="G10" s="9" t="s">
        <v>62</v>
      </c>
      <c r="H10" s="9" t="s">
        <v>21</v>
      </c>
      <c r="I10" s="9" t="s">
        <v>22</v>
      </c>
      <c r="J10" s="10">
        <v>45979.0</v>
      </c>
      <c r="K10" s="9" t="s">
        <v>23</v>
      </c>
      <c r="L10" s="9" t="s">
        <v>24</v>
      </c>
      <c r="M10" s="11" t="s">
        <v>63</v>
      </c>
      <c r="N10" s="12" t="s">
        <v>64</v>
      </c>
      <c r="O10" s="9" t="s">
        <v>65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0.75" customHeight="1">
      <c r="A11" s="1"/>
      <c r="B11" s="8" t="s">
        <v>66</v>
      </c>
      <c r="C11" s="9" t="s">
        <v>67</v>
      </c>
      <c r="D11" s="14" t="s">
        <v>68</v>
      </c>
      <c r="E11" s="9" t="s">
        <v>69</v>
      </c>
      <c r="F11" s="9" t="s">
        <v>70</v>
      </c>
      <c r="G11" s="13" t="s">
        <v>71</v>
      </c>
      <c r="H11" s="9" t="s">
        <v>21</v>
      </c>
      <c r="I11" s="9" t="s">
        <v>22</v>
      </c>
      <c r="J11" s="10">
        <v>45979.0</v>
      </c>
      <c r="K11" s="9" t="s">
        <v>23</v>
      </c>
      <c r="L11" s="9" t="s">
        <v>24</v>
      </c>
      <c r="M11" s="9" t="s">
        <v>72</v>
      </c>
      <c r="N11" s="12" t="s">
        <v>73</v>
      </c>
      <c r="O11" s="9" t="s">
        <v>74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3.0" customHeight="1">
      <c r="A12" s="1"/>
      <c r="B12" s="8" t="s">
        <v>75</v>
      </c>
      <c r="C12" s="9" t="s">
        <v>76</v>
      </c>
      <c r="D12" s="13" t="s">
        <v>77</v>
      </c>
      <c r="E12" s="9" t="s">
        <v>78</v>
      </c>
      <c r="F12" s="9" t="s">
        <v>51</v>
      </c>
      <c r="G12" s="13" t="s">
        <v>79</v>
      </c>
      <c r="H12" s="9" t="s">
        <v>21</v>
      </c>
      <c r="I12" s="9" t="s">
        <v>80</v>
      </c>
      <c r="J12" s="10">
        <v>45979.0</v>
      </c>
      <c r="K12" s="9" t="s">
        <v>23</v>
      </c>
      <c r="L12" s="9" t="s">
        <v>24</v>
      </c>
      <c r="M12" s="9" t="s">
        <v>81</v>
      </c>
      <c r="N12" s="12" t="s">
        <v>82</v>
      </c>
      <c r="O12" s="9" t="s">
        <v>83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9.75" customHeight="1">
      <c r="A13" s="1"/>
      <c r="B13" s="8" t="s">
        <v>84</v>
      </c>
      <c r="C13" s="9" t="s">
        <v>85</v>
      </c>
      <c r="D13" s="13" t="s">
        <v>86</v>
      </c>
      <c r="E13" s="9" t="s">
        <v>87</v>
      </c>
      <c r="F13" s="9" t="s">
        <v>51</v>
      </c>
      <c r="G13" s="13" t="s">
        <v>88</v>
      </c>
      <c r="H13" s="9" t="s">
        <v>21</v>
      </c>
      <c r="I13" s="9" t="s">
        <v>80</v>
      </c>
      <c r="J13" s="10">
        <v>45979.0</v>
      </c>
      <c r="K13" s="9" t="s">
        <v>23</v>
      </c>
      <c r="L13" s="9" t="s">
        <v>24</v>
      </c>
      <c r="M13" s="9" t="s">
        <v>89</v>
      </c>
      <c r="N13" s="15" t="s">
        <v>90</v>
      </c>
      <c r="O13" s="9" t="s">
        <v>91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82.5" customHeight="1">
      <c r="A14" s="1"/>
      <c r="B14" s="8" t="s">
        <v>92</v>
      </c>
      <c r="C14" s="9" t="s">
        <v>93</v>
      </c>
      <c r="D14" s="9" t="s">
        <v>94</v>
      </c>
      <c r="E14" s="9" t="s">
        <v>95</v>
      </c>
      <c r="F14" s="9" t="s">
        <v>96</v>
      </c>
      <c r="G14" s="13" t="s">
        <v>97</v>
      </c>
      <c r="H14" s="9" t="s">
        <v>98</v>
      </c>
      <c r="I14" s="9" t="s">
        <v>99</v>
      </c>
      <c r="J14" s="10">
        <v>45979.0</v>
      </c>
      <c r="K14" s="9" t="s">
        <v>23</v>
      </c>
      <c r="L14" s="9" t="s">
        <v>24</v>
      </c>
      <c r="M14" s="9" t="s">
        <v>100</v>
      </c>
      <c r="N14" s="15" t="s">
        <v>101</v>
      </c>
      <c r="O14" s="9" t="s">
        <v>102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88.5" customHeight="1">
      <c r="A15" s="1"/>
      <c r="B15" s="8" t="s">
        <v>103</v>
      </c>
      <c r="C15" s="9" t="s">
        <v>104</v>
      </c>
      <c r="D15" s="9" t="s">
        <v>105</v>
      </c>
      <c r="E15" s="9" t="s">
        <v>106</v>
      </c>
      <c r="F15" s="9" t="s">
        <v>96</v>
      </c>
      <c r="G15" s="13" t="s">
        <v>107</v>
      </c>
      <c r="H15" s="9" t="s">
        <v>98</v>
      </c>
      <c r="I15" s="9" t="s">
        <v>108</v>
      </c>
      <c r="J15" s="10">
        <v>45979.0</v>
      </c>
      <c r="K15" s="9" t="s">
        <v>109</v>
      </c>
      <c r="L15" s="9" t="s">
        <v>24</v>
      </c>
      <c r="M15" s="9" t="s">
        <v>110</v>
      </c>
      <c r="N15" s="15" t="s">
        <v>111</v>
      </c>
      <c r="O15" s="9" t="s">
        <v>112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86.25" customHeight="1">
      <c r="A16" s="1"/>
      <c r="B16" s="8" t="s">
        <v>113</v>
      </c>
      <c r="C16" s="9" t="s">
        <v>114</v>
      </c>
      <c r="D16" s="9" t="s">
        <v>115</v>
      </c>
      <c r="E16" s="9" t="s">
        <v>116</v>
      </c>
      <c r="F16" s="9" t="s">
        <v>70</v>
      </c>
      <c r="G16" s="13" t="s">
        <v>117</v>
      </c>
      <c r="H16" s="9" t="s">
        <v>98</v>
      </c>
      <c r="I16" s="9" t="s">
        <v>53</v>
      </c>
      <c r="J16" s="10">
        <v>45979.0</v>
      </c>
      <c r="K16" s="9" t="s">
        <v>109</v>
      </c>
      <c r="L16" s="9" t="s">
        <v>24</v>
      </c>
      <c r="M16" s="9" t="s">
        <v>118</v>
      </c>
      <c r="N16" s="16" t="s">
        <v>119</v>
      </c>
      <c r="O16" s="9" t="s">
        <v>120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6.0" customHeight="1">
      <c r="A17" s="1"/>
      <c r="B17" s="8" t="s">
        <v>121</v>
      </c>
      <c r="C17" s="9" t="s">
        <v>122</v>
      </c>
      <c r="D17" s="9" t="s">
        <v>123</v>
      </c>
      <c r="E17" s="9" t="s">
        <v>124</v>
      </c>
      <c r="F17" s="9" t="s">
        <v>70</v>
      </c>
      <c r="G17" s="13" t="s">
        <v>125</v>
      </c>
      <c r="H17" s="9" t="s">
        <v>98</v>
      </c>
      <c r="I17" s="9" t="s">
        <v>22</v>
      </c>
      <c r="J17" s="10">
        <v>45979.0</v>
      </c>
      <c r="K17" s="9" t="s">
        <v>23</v>
      </c>
      <c r="L17" s="9" t="s">
        <v>24</v>
      </c>
      <c r="M17" s="9" t="s">
        <v>126</v>
      </c>
      <c r="N17" s="15" t="s">
        <v>127</v>
      </c>
      <c r="O17" s="9" t="s">
        <v>128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5.25" customHeight="1">
      <c r="A18" s="1"/>
      <c r="B18" s="8" t="s">
        <v>129</v>
      </c>
      <c r="C18" s="9"/>
      <c r="D18" s="9"/>
      <c r="E18" s="9"/>
      <c r="F18" s="9"/>
      <c r="G18" s="13"/>
      <c r="H18" s="9"/>
      <c r="I18" s="9"/>
      <c r="J18" s="10"/>
      <c r="K18" s="9"/>
      <c r="L18" s="9"/>
      <c r="M18" s="9"/>
      <c r="N18" s="16"/>
      <c r="O18" s="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0.75" customHeight="1">
      <c r="A19" s="1"/>
      <c r="B19" s="8" t="s">
        <v>130</v>
      </c>
      <c r="C19" s="9"/>
      <c r="D19" s="9"/>
      <c r="E19" s="9"/>
      <c r="F19" s="9"/>
      <c r="G19" s="13"/>
      <c r="H19" s="9"/>
      <c r="I19" s="9"/>
      <c r="J19" s="10"/>
      <c r="K19" s="9"/>
      <c r="L19" s="9"/>
      <c r="M19" s="9"/>
      <c r="N19" s="17"/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/>
      <c r="C20" s="9"/>
      <c r="D20" s="9"/>
      <c r="E20" s="9"/>
      <c r="F20" s="9"/>
      <c r="G20" s="9"/>
      <c r="H20" s="9"/>
      <c r="I20" s="9"/>
      <c r="J20" s="10"/>
      <c r="K20" s="9"/>
      <c r="L20" s="9"/>
      <c r="M20" s="13"/>
      <c r="N20" s="9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/>
      <c r="C21" s="19"/>
      <c r="D21" s="19"/>
      <c r="E21" s="19"/>
      <c r="F21" s="20"/>
      <c r="G21" s="19"/>
      <c r="H21" s="9"/>
      <c r="I21" s="9"/>
      <c r="J21" s="10"/>
      <c r="K21" s="9"/>
      <c r="L21" s="9"/>
      <c r="M21" s="19"/>
      <c r="N21" s="12"/>
      <c r="O21" s="1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/>
      <c r="C22" s="19"/>
      <c r="D22" s="19"/>
      <c r="E22" s="19"/>
      <c r="F22" s="20"/>
      <c r="G22" s="19"/>
      <c r="H22" s="9"/>
      <c r="I22" s="9"/>
      <c r="J22" s="10"/>
      <c r="K22" s="9"/>
      <c r="L22" s="9"/>
      <c r="M22" s="19"/>
      <c r="N22" s="12"/>
      <c r="O22" s="1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/>
      <c r="C23" s="19"/>
      <c r="D23" s="19"/>
      <c r="E23" s="19"/>
      <c r="F23" s="21"/>
      <c r="G23" s="19"/>
      <c r="H23" s="9"/>
      <c r="I23" s="9"/>
      <c r="J23" s="10"/>
      <c r="K23" s="9"/>
      <c r="L23" s="9"/>
      <c r="M23" s="19"/>
      <c r="N23" s="12"/>
      <c r="O23" s="1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2"/>
      <c r="C24" s="9"/>
      <c r="D24" s="9"/>
      <c r="E24" s="9"/>
      <c r="F24" s="9"/>
      <c r="G24" s="9"/>
      <c r="H24" s="9"/>
      <c r="I24" s="9"/>
      <c r="J24" s="10"/>
      <c r="K24" s="9"/>
      <c r="L24" s="9"/>
      <c r="M24" s="11"/>
      <c r="N24" s="12"/>
      <c r="O24" s="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22"/>
      <c r="C25" s="9"/>
      <c r="D25" s="9"/>
      <c r="E25" s="9"/>
      <c r="F25" s="9"/>
      <c r="G25" s="9"/>
      <c r="H25" s="9"/>
      <c r="I25" s="9"/>
      <c r="J25" s="10"/>
      <c r="K25" s="9"/>
      <c r="L25" s="9"/>
      <c r="M25" s="11"/>
      <c r="N25" s="12"/>
      <c r="O25" s="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22"/>
      <c r="C26" s="9"/>
      <c r="D26" s="9"/>
      <c r="E26" s="9"/>
      <c r="F26" s="9"/>
      <c r="G26" s="13"/>
      <c r="H26" s="9"/>
      <c r="I26" s="9"/>
      <c r="J26" s="10"/>
      <c r="K26" s="9"/>
      <c r="L26" s="9"/>
      <c r="M26" s="11"/>
      <c r="N26" s="12"/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5.75" customHeight="1">
      <c r="A27" s="1"/>
      <c r="B27" s="22"/>
      <c r="C27" s="9"/>
      <c r="D27" s="13"/>
      <c r="E27" s="9"/>
      <c r="F27" s="9"/>
      <c r="G27" s="13"/>
      <c r="H27" s="9"/>
      <c r="I27" s="9"/>
      <c r="J27" s="10"/>
      <c r="K27" s="9"/>
      <c r="L27" s="9"/>
      <c r="M27" s="11"/>
      <c r="N27" s="12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3"/>
      <c r="L29" s="2"/>
      <c r="M29" s="1"/>
      <c r="N29" s="1"/>
      <c r="O29" s="2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23</v>
      </c>
      <c r="L33" s="3" t="s">
        <v>131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2"/>
      <c r="J34" s="1"/>
      <c r="K34" s="3" t="s">
        <v>109</v>
      </c>
      <c r="L34" s="3" t="s">
        <v>132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2"/>
      <c r="J35" s="1"/>
      <c r="K35" s="3" t="s">
        <v>133</v>
      </c>
      <c r="L35" s="3" t="s">
        <v>24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2"/>
      <c r="J36" s="1"/>
      <c r="K36" s="3"/>
      <c r="L36" s="3" t="s">
        <v>134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O3"/>
  </mergeCells>
  <conditionalFormatting sqref="L6:L9 L11:L27">
    <cfRule type="colorScale" priority="1">
      <colorScale>
        <cfvo type="min"/>
        <cfvo type="max"/>
        <color rgb="FF57BB8A"/>
        <color rgb="FFFFFFFF"/>
      </colorScale>
    </cfRule>
  </conditionalFormatting>
  <conditionalFormatting sqref="L12:L19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7">
      <formula1>$L$33:$L$36</formula1>
    </dataValidation>
    <dataValidation type="list" allowBlank="1" showErrorMessage="1" sqref="K6:K27">
      <formula1>$K$33:$K$35</formula1>
    </dataValidation>
  </dataValidations>
  <printOptions horizontalCentered="1"/>
  <pageMargins bottom="0.0" footer="0.0" header="0.0" left="0.14140267350302144" right="0.20666544588903135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4" width="10.63"/>
    <col customWidth="1" min="5" max="5" width="37.5"/>
    <col customWidth="1" min="6" max="14" width="10.63"/>
    <col customWidth="1" min="15" max="15" width="20.0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5"/>
      <c r="D4" s="25"/>
      <c r="E4" s="25"/>
      <c r="F4" s="26"/>
    </row>
    <row r="5" hidden="1">
      <c r="C5" s="25"/>
      <c r="D5" s="25"/>
      <c r="E5" s="25"/>
      <c r="F5" s="26"/>
    </row>
    <row r="6" ht="39.75" customHeight="1">
      <c r="B6" s="27" t="s">
        <v>135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9.75" customHeight="1">
      <c r="B8" s="30"/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4"/>
      <c r="Q8" s="28"/>
    </row>
    <row r="9" ht="30.0" customHeight="1">
      <c r="B9" s="35"/>
      <c r="C9" s="36" t="s">
        <v>1</v>
      </c>
      <c r="D9" s="37"/>
      <c r="E9" s="38" t="s">
        <v>136</v>
      </c>
      <c r="F9" s="6"/>
      <c r="G9" s="37"/>
      <c r="H9" s="38" t="s">
        <v>11</v>
      </c>
      <c r="I9" s="6"/>
      <c r="J9" s="39"/>
      <c r="K9" s="39"/>
      <c r="L9" s="39"/>
      <c r="M9" s="39"/>
      <c r="N9" s="39"/>
      <c r="O9" s="39"/>
      <c r="P9" s="40"/>
      <c r="Q9" s="28"/>
    </row>
    <row r="10" ht="30.0" customHeight="1">
      <c r="B10" s="35"/>
      <c r="C10" s="41" t="s">
        <v>15</v>
      </c>
      <c r="D10" s="42"/>
      <c r="E10" s="43" t="str">
        <f>VLOOKUP(C10,'Formato descripción HU'!B6:O23,5,0)</f>
        <v>Jefe de Ticketera, Contadora, Staff.</v>
      </c>
      <c r="F10" s="6"/>
      <c r="G10" s="44"/>
      <c r="H10" s="43" t="str">
        <f>VLOOKUP(C10,'Formato descripción HU'!B6:O23,11,0)</f>
        <v>Terminado</v>
      </c>
      <c r="I10" s="6"/>
      <c r="J10" s="44"/>
      <c r="K10" s="39"/>
      <c r="L10" s="39"/>
      <c r="M10" s="39"/>
      <c r="N10" s="39"/>
      <c r="O10" s="39"/>
      <c r="P10" s="40"/>
      <c r="Q10" s="28"/>
    </row>
    <row r="11" ht="9.75" customHeight="1">
      <c r="A11" s="28"/>
      <c r="B11" s="35"/>
      <c r="C11" s="45"/>
      <c r="D11" s="42"/>
      <c r="E11" s="46"/>
      <c r="F11" s="46"/>
      <c r="G11" s="44"/>
      <c r="H11" s="46"/>
      <c r="I11" s="46"/>
      <c r="J11" s="44"/>
      <c r="K11" s="46"/>
      <c r="L11" s="46"/>
      <c r="M11" s="39"/>
      <c r="N11" s="46"/>
      <c r="O11" s="46"/>
      <c r="P11" s="40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0.0" customHeight="1">
      <c r="A12" s="28"/>
      <c r="B12" s="35"/>
      <c r="C12" s="36" t="s">
        <v>137</v>
      </c>
      <c r="D12" s="42"/>
      <c r="E12" s="38" t="s">
        <v>10</v>
      </c>
      <c r="F12" s="6"/>
      <c r="G12" s="44"/>
      <c r="H12" s="38" t="s">
        <v>138</v>
      </c>
      <c r="I12" s="6"/>
      <c r="J12" s="44"/>
      <c r="K12" s="46"/>
      <c r="L12" s="46"/>
      <c r="M12" s="39"/>
      <c r="N12" s="46"/>
      <c r="O12" s="46"/>
      <c r="P12" s="40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0.0" customHeight="1">
      <c r="A13" s="28"/>
      <c r="B13" s="35"/>
      <c r="C13" s="47" t="str">
        <f>VLOOKUP('Historia de Usuario'!C10,'Formato descripción HU'!B6:O23,8,0)</f>
        <v>6h</v>
      </c>
      <c r="D13" s="42"/>
      <c r="E13" s="43" t="str">
        <f>VLOOKUP(C10,'Formato descripción HU'!B6:O23,10,0)</f>
        <v>Alta</v>
      </c>
      <c r="F13" s="6"/>
      <c r="G13" s="44"/>
      <c r="H13" s="43" t="str">
        <f>VLOOKUP(C10,'Formato descripción HU'!B6:O23,7,0)</f>
        <v>David Moran</v>
      </c>
      <c r="I13" s="6"/>
      <c r="J13" s="44"/>
      <c r="K13" s="46"/>
      <c r="L13" s="46"/>
      <c r="M13" s="39"/>
      <c r="N13" s="46"/>
      <c r="O13" s="46"/>
      <c r="P13" s="40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9.75" customHeight="1">
      <c r="A14" s="28"/>
      <c r="B14" s="35"/>
      <c r="C14" s="39"/>
      <c r="D14" s="42"/>
      <c r="E14" s="39"/>
      <c r="F14" s="39"/>
      <c r="G14" s="44"/>
      <c r="H14" s="44"/>
      <c r="I14" s="39"/>
      <c r="J14" s="39"/>
      <c r="K14" s="39"/>
      <c r="L14" s="39"/>
      <c r="M14" s="39"/>
      <c r="N14" s="39"/>
      <c r="O14" s="39"/>
      <c r="P14" s="40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9.5" customHeight="1">
      <c r="A15" s="28"/>
      <c r="B15" s="35"/>
      <c r="C15" s="48" t="s">
        <v>139</v>
      </c>
      <c r="D15" s="49" t="str">
        <f>VLOOKUP(C10,'Formato descripción HU'!B6:O23,3,0)</f>
        <v>Implementar autenticación basada en credenciales según el tipo de usuario.</v>
      </c>
      <c r="E15" s="50"/>
      <c r="F15" s="51"/>
      <c r="G15" s="48" t="s">
        <v>140</v>
      </c>
      <c r="H15" s="49" t="str">
        <f>VLOOKUP(C10,'Formato descripción HU'!B6:O23,4,0)</f>
        <v>Permitir el acceso seguro, evitar suplantación y dirigir a cada rol al módulo correspondiente.</v>
      </c>
      <c r="I15" s="52"/>
      <c r="J15" s="50"/>
      <c r="K15" s="51"/>
      <c r="L15" s="48" t="s">
        <v>141</v>
      </c>
      <c r="M15" s="53" t="str">
        <f>VLOOKUP(C10,'Formato descripción HU'!B6:O23,6,0)</f>
        <v>El sistema presenta un formulario donde el usuario ingresa sus credenciales; valida la información según su rol, crea una sesión segura y lo redirige a la interfaz que le corresponde, garantizando acceso solo a las funciones permitidas.</v>
      </c>
      <c r="N15" s="52"/>
      <c r="O15" s="50"/>
      <c r="P15" s="40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9.5" customHeight="1">
      <c r="A16" s="28"/>
      <c r="B16" s="35"/>
      <c r="C16" s="54"/>
      <c r="D16" s="55"/>
      <c r="E16" s="56"/>
      <c r="F16" s="51"/>
      <c r="G16" s="54"/>
      <c r="H16" s="55"/>
      <c r="J16" s="56"/>
      <c r="K16" s="51"/>
      <c r="L16" s="54"/>
      <c r="M16" s="55"/>
      <c r="O16" s="56"/>
      <c r="P16" s="40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42.0" customHeight="1">
      <c r="A17" s="28"/>
      <c r="B17" s="35"/>
      <c r="C17" s="57"/>
      <c r="D17" s="58"/>
      <c r="E17" s="59"/>
      <c r="F17" s="51"/>
      <c r="G17" s="57"/>
      <c r="H17" s="58"/>
      <c r="I17" s="60"/>
      <c r="J17" s="59"/>
      <c r="K17" s="51"/>
      <c r="L17" s="57"/>
      <c r="M17" s="58"/>
      <c r="N17" s="60"/>
      <c r="O17" s="59"/>
      <c r="P17" s="40"/>
      <c r="Q17" s="28"/>
      <c r="R17" s="61" t="s">
        <v>142</v>
      </c>
      <c r="S17" s="28"/>
      <c r="T17" s="28"/>
      <c r="U17" s="28"/>
      <c r="V17" s="28"/>
      <c r="W17" s="28"/>
      <c r="X17" s="28"/>
      <c r="Y17" s="28"/>
      <c r="Z17" s="28"/>
    </row>
    <row r="18" ht="9.75" customHeight="1">
      <c r="A18" s="28"/>
      <c r="B18" s="35"/>
      <c r="C18" s="39"/>
      <c r="D18" s="39"/>
      <c r="E18" s="39"/>
      <c r="F18" s="39"/>
      <c r="G18" s="44"/>
      <c r="H18" s="44"/>
      <c r="I18" s="44"/>
      <c r="J18" s="39"/>
      <c r="K18" s="39"/>
      <c r="L18" s="39"/>
      <c r="M18" s="39"/>
      <c r="N18" s="39"/>
      <c r="O18" s="39"/>
      <c r="P18" s="40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9.5" customHeight="1">
      <c r="B19" s="35"/>
      <c r="C19" s="62" t="s">
        <v>143</v>
      </c>
      <c r="D19" s="50"/>
      <c r="E19" s="63" t="str">
        <f>VLOOKUP(C10,'Formato descripción HU'!B6:O23,14,0)</f>
        <v>Acceder al Sistema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40"/>
      <c r="Q19" s="28"/>
    </row>
    <row r="20" ht="19.5" customHeight="1">
      <c r="B20" s="35"/>
      <c r="C20" s="58"/>
      <c r="D20" s="59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40"/>
      <c r="Q20" s="28"/>
    </row>
    <row r="21" ht="9.75" customHeight="1">
      <c r="B21" s="35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  <c r="Q21" s="28"/>
    </row>
    <row r="22" ht="19.5" customHeight="1">
      <c r="A22" s="28"/>
      <c r="B22" s="35"/>
      <c r="C22" s="69" t="s">
        <v>144</v>
      </c>
      <c r="D22" s="50"/>
      <c r="E22" s="70" t="str">
        <f>VLOOKUP(C10,'Formato descripción HU'!B6:O23,12,0)</f>
        <v>Caja negra: probar login válido/ inválido y revisar que el sistema dirija al módulo correcto.</v>
      </c>
      <c r="F22" s="52"/>
      <c r="G22" s="52"/>
      <c r="H22" s="50"/>
      <c r="I22" s="39"/>
      <c r="J22" s="69" t="s">
        <v>13</v>
      </c>
      <c r="K22" s="50"/>
      <c r="L22" s="49" t="str">
        <f>VLOOKUP(C10,'Formato descripción HU'!B6:O23,13,0)</f>
        <v>Asegura acceso seguro y control por rol, tal como exige el documento base.</v>
      </c>
      <c r="M22" s="52"/>
      <c r="N22" s="52"/>
      <c r="O22" s="50"/>
      <c r="P22" s="40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9.5" customHeight="1">
      <c r="A23" s="28"/>
      <c r="B23" s="35"/>
      <c r="C23" s="55"/>
      <c r="D23" s="56"/>
      <c r="E23" s="55"/>
      <c r="H23" s="56"/>
      <c r="I23" s="39"/>
      <c r="J23" s="55"/>
      <c r="K23" s="56"/>
      <c r="L23" s="55"/>
      <c r="O23" s="56"/>
      <c r="P23" s="40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9.5" customHeight="1">
      <c r="A24" s="28"/>
      <c r="B24" s="35"/>
      <c r="C24" s="58"/>
      <c r="D24" s="59"/>
      <c r="E24" s="58"/>
      <c r="F24" s="60"/>
      <c r="G24" s="60"/>
      <c r="H24" s="59"/>
      <c r="I24" s="39"/>
      <c r="J24" s="58"/>
      <c r="K24" s="59"/>
      <c r="L24" s="58"/>
      <c r="M24" s="60"/>
      <c r="N24" s="60"/>
      <c r="O24" s="59"/>
      <c r="P24" s="40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9.75" customHeight="1">
      <c r="A25" s="28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3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9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9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9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9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9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9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9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9.5" customHeight="1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ht="19.5" customHeight="1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ht="19.5" customHeight="1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ht="19.5" customHeight="1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9.5" customHeight="1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ht="19.5" customHeight="1"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ht="19.5" customHeight="1"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ht="19.5" customHeight="1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ht="19.5" customHeight="1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ht="19.5" customHeight="1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ht="19.5" customHeight="1"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ht="19.5" customHeight="1"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ht="19.5" customHeight="1"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ht="19.5" customHeight="1"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ht="19.5" customHeight="1"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ht="19.5" customHeight="1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</row>
    <row r="50" ht="19.5" customHeight="1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ht="19.5" customHeight="1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</row>
    <row r="52" ht="19.5" customHeight="1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ht="19.5" customHeight="1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</row>
    <row r="54" ht="19.5" customHeight="1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ht="15.75" customHeight="1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HU'!$B$6:$B$23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