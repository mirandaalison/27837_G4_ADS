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<sst xmlns="http://schemas.openxmlformats.org/spreadsheetml/2006/main" count="88" uniqueCount="75">
  <si>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</si>
  <si>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</si>
  <si>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</si>
  <si>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</si>
  <si>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</si>
  <si>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</si>
  <si>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</si>
  <si>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</si>
  <si>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</si>
  <si>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</si>
  <si>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</si>
  <si>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</si>
  <si>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</si>
  <si>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</si>
  <si>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</si>
  <si>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RF09</t>
  </si>
  <si>
    <t>No se cuenta con una forma eficiente para que el Jefe de Ticketera o el Staff consulten los gastos registrados de manera filtrada y organizada.</t>
  </si>
  <si>
    <t>Se necesita una opción dentro del sistema que permita buscar y visualizar los gastos según parámetros específicos, como rango de fechas, objeto de gasto o número de comprobante/factura.</t>
  </si>
  <si>
    <t>Para facilitar la consulta rápida y precisa de los gastos realizados, mejorando el control financiero y la toma de decisiones.</t>
  </si>
  <si>
    <t>Jefe de Ticketera y Staff</t>
  </si>
  <si>
    <t>El usuario accede al sistema, selecciona “Consultar Gastos”, ingresa los parámetros de búsqueda y ejecuta la consulta. El sistema valida los datos, busca coincidencias y muestra los gastos encontrados o mensajes de alerta si no existen resultados válidos.</t>
  </si>
  <si>
    <t>David Moran</t>
  </si>
  <si>
    <t>6 horas</t>
  </si>
  <si>
    <t>Alta</t>
  </si>
  <si>
    <t>Terminado</t>
  </si>
  <si>
    <t>Se verifica ingresando distintos parámetros de búsqueda (fecha, objeto, número de comprobante) y comprobando que el sistema muestre solo los registros que cumplan los criterios. También se valida que los mensajes de alerta funcionen correctamente ante errores o datos inexistentes.</t>
  </si>
  <si>
    <t>Se debe definir al menos un parámetro de búsqueda para ejecutar la consulta. Si no se cumple, el sistema no realizará la búsqueda.</t>
  </si>
  <si>
    <t>Consultar Gastos</t>
  </si>
  <si>
    <t>RF015</t>
  </si>
  <si>
    <t>El staff necesita registrar y validar notas de venta/facturas en el sistema, pero no existe un mecanismo automatizado para capturar, verificar y almacenar esta información</t>
  </si>
  <si>
    <t>Capturar, validar y almacenar documentos fiscales (facturas/notas de venta) del staff con verificación automática de datos</t>
  </si>
  <si>
    <t>Garantizar el registro correcto de transacciones comerciales, mantener trazabilidad financiera y validar la autenticidad de documentos contra datos precargados</t>
  </si>
  <si>
    <t>Staff (usuarios con rol de staff que generan facturas/notas de venta por eventos)</t>
  </si>
  <si>
    <t>Staff inicia sesión, Sistema extrae datos de forma 1 (documento/imagen de factura), Sistema carga datos por evento a BD usando RUC del staff como ID, Sistema compara datos de forma 3 (excel precargado) vs documento subido, Sistema valida coincidencia de información, Sistema almacena documento con cédula como ID único,  Staff puede editar si es rechazada o eliminar si no está aprobada</t>
  </si>
  <si>
    <t>Gabriel Vivanco</t>
  </si>
  <si>
    <t>16-24 horas</t>
  </si>
  <si>
    <t>Verificar extracción correcta de datos desde forma 1, Confirmar almacenamiento con RUC como ID por evento, Validar comparación automática forma 3 vs documento, Verificar restricción: 1 sola factura por evento, Confirmar funcionalidad de edición (solo si rechazada), Confirmar funcionalidad de eliminación (solo si no aprobada), Verificar ID único con cédula en BD</t>
  </si>
  <si>
    <t>Requiere revisión de forma 1 y forma 3. Implementar validación de formatos de imagen/documento. Considerar OCR para extracción automática. Definir criterios de aprobación/rechazo. Importante: aclarar discrepancia entre "RUC como ID" y "cédula como ID único"</t>
  </si>
  <si>
    <t>Registro y Validación de Facturas/Notas de Venta por Staff</t>
  </si>
  <si>
    <t>RF017</t>
  </si>
  <si>
    <t>El staff no tiene una forma de registrar su cuenta bancaria en el sistema para recibir pagos por sus servicios</t>
  </si>
  <si>
    <t>Registrar y almacenar información de cuentas bancarias del staff de manera segura y única</t>
  </si>
  <si>
    <t>Permitir que el sistema procese pagos al staff utilizando la información bancaria registrada</t>
  </si>
  <si>
    <t>Staff (usuarios con rol de staff que prestan servicios)</t>
  </si>
  <si>
    <t>Carga información de cuenta bancaria mediante forma 1,  Sistema valida que cuenta no exista previamente, Sistema guarda datos con número de cuenta como ID único, Sistema evita duplicados</t>
  </si>
  <si>
    <t>Alison Miranda</t>
  </si>
  <si>
    <t>8-12 horas</t>
  </si>
  <si>
    <t>Verificar que staff puede cargar cuenta bancaria, Confirmar almacenamiento en BD con número de cuenta como ID,  Validar que no se crean duplicados, Verificar asociación correcta con usuario staff</t>
  </si>
  <si>
    <t>Requiere revisión de forma 1. Asegurar validaciones de formato bancario. Considerar encriptación de datos sensibles</t>
  </si>
  <si>
    <t>Registro de Cuenta Bancaria para Staff</t>
  </si>
  <si>
    <t>RF 021</t>
  </si>
  <si>
    <t>La contadora necesita una forma sistemática de procesar los pagos al staff, validar que se han realizado y mantener un registro actualizado, reemplazando un posible seguimiento manual que es propenso a errores.</t>
  </si>
  <si>
    <t>Poder generar una lista de pagos pendientes de staff (filtrable por evento y staff) y marcar dichos pagos como "Pagados" una vez que se cargue un comprobante.</t>
  </si>
  <si>
    <t>Mantener un control contable preciso, asegurar que el staff reciba su remuneración y que el sistema refleje en tiempo real quién ha sido pagado y quién no.</t>
  </si>
  <si>
    <t>Contadora</t>
  </si>
  <si>
    <t>El sistema debe permitir a la Contadora acceder a una sección de "Proceso de Pago".
El sistema debe generar y mostrar una lista de pagos pendientes, comparando las notas de venta/facturas registradas.
La Contadora debe poder filtrar esta lista por "Evento" y por "Staff".
La Contadora debe poder seleccionar un pago pendiente.
Al seleccionar un pago, el sistema debe permitirle cargar un archivo como comprobante (formatos permitidos: .JPG, .PNG, .PDF).
Tras cargar el comprobante, la Contadora debe poder "Confirmar el Pago".
Al confirmar, el sistema debe actualizar automáticamente el estado de ese pago de "Pendiente" a "Pagado".</t>
  </si>
  <si>
    <t>Samir Mideros</t>
  </si>
  <si>
    <t>7-10 horas</t>
  </si>
  <si>
    <t>Dado que existen facturas de staff pendientes de pago,
Cuando la Contadora entra a la pantalla de pagos,
Entonces debe ver una lista de pagos con estado "Pendiente".
Dado que está en la lista de pendientes,
Cuando filtra por "Evento X",
Entonces solo debe ver los pagos pendientes de ese evento.
Dado que la Contadora selecciona un pago pendiente,
Cuando intenta cargar un archivo ".TXT" o ".DOCX",
Entonces el sistema debe rechazarlo.
Dado que la Contadora selecciona un pago pendiente,
Cuando carga un archivo ".PDF" y hace clic en "Confirmar Pago",
Entonces el estado de ese pago debe cambiar a "Pagado" en la lista.
Dado que un pago se marcó como "Pagado",
Cuando el "Staff" correspondiente consulta su estado de pago (en su propia interfaz),
Entonces debe visualizar su estado como "Pagado".</t>
  </si>
  <si>
    <t>Se interpreta que las facturas/notas de venta deben estar registradas para que el sistema pueda generar el reporte de pendientes</t>
  </si>
  <si>
    <t>Confirmacion para pago de Staff</t>
  </si>
  <si>
    <t>No iniciado</t>
  </si>
  <si>
    <t xml:space="preserve">Media </t>
  </si>
  <si>
    <t>En proceso</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</si>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</sst>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0.0"/>
      <color rgb="FF000000"/>
      <name val="Arial Narrow"/>
    </font>
    <font>
      <color theme="1"/>
      <name val="Arial"/>
      <scheme val="minor"/>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5" numFmtId="164" xfId="0" applyAlignment="1" applyBorder="1" applyFont="1" applyNumberForma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4" fillId="4" fontId="6" numFmtId="0" xfId="0" applyAlignment="1" applyBorder="1" applyFill="1" applyFont="1">
      <alignment horizontal="center" readingOrder="0" shrinkToFit="0" vertical="center" wrapText="1"/>
    </xf>
    <xf borderId="0" fillId="0" fontId="7" numFmtId="0" xfId="0" applyAlignment="1" applyFont="1">
      <alignment readingOrder="0"/>
    </xf>
    <xf borderId="4" fillId="3" fontId="5"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0" fontId="5" numFmtId="164" xfId="0" applyAlignment="1" applyBorder="1" applyFont="1" applyNumberFormat="1">
      <alignment horizontal="center" shrinkToFit="0" vertical="center" wrapText="1"/>
    </xf>
    <xf borderId="4" fillId="0" fontId="5" numFmtId="49" xfId="0" applyAlignment="1" applyBorder="1" applyFont="1" applyNumberFormat="1">
      <alignment horizontal="center" shrinkToFit="0" vertical="center" wrapText="1"/>
    </xf>
    <xf borderId="4" fillId="0" fontId="6" numFmtId="0" xfId="0" applyAlignment="1" applyBorder="1" applyFont="1">
      <alignment horizontal="center" shrinkToFit="0" vertical="center" wrapText="1"/>
    </xf>
    <xf borderId="4" fillId="4" fontId="6" numFmtId="0" xfId="0" applyAlignment="1" applyBorder="1" applyFont="1">
      <alignment horizontal="center" shrinkToFit="0" vertical="center" wrapText="1"/>
    </xf>
    <xf borderId="4" fillId="0" fontId="1" numFmtId="0" xfId="0" applyBorder="1" applyFont="1"/>
    <xf borderId="4" fillId="3" fontId="5" numFmtId="0" xfId="0" applyAlignment="1" applyBorder="1" applyFont="1">
      <alignment shrinkToFit="0" vertical="center" wrapText="1"/>
    </xf>
    <xf borderId="4" fillId="0" fontId="5" numFmtId="0" xfId="0" applyAlignment="1" applyBorder="1" applyFont="1">
      <alignment shrinkToFit="0" vertical="center" wrapText="1"/>
    </xf>
    <xf borderId="4" fillId="4" fontId="6" numFmtId="0" xfId="0" applyAlignment="1" applyBorder="1" applyFont="1">
      <alignment horizontal="left" shrinkToFit="0" vertical="center" wrapText="1"/>
    </xf>
    <xf borderId="4" fillId="0" fontId="1" numFmtId="0" xfId="0" applyAlignment="1" applyBorder="1" applyFont="1">
      <alignment horizontal="center" shrinkToFit="0" wrapText="1"/>
    </xf>
    <xf borderId="0" fillId="0" fontId="8" numFmtId="0" xfId="0" applyAlignment="1" applyFont="1">
      <alignment horizontal="center"/>
    </xf>
    <xf borderId="0" fillId="0" fontId="9" numFmtId="0" xfId="0" applyAlignment="1" applyFont="1">
      <alignment horizontal="left" shrinkToFit="0" vertical="center" wrapText="1"/>
    </xf>
    <xf borderId="0" fillId="0" fontId="10" numFmtId="0" xfId="0" applyFont="1"/>
    <xf borderId="1" fillId="5" fontId="11" numFmtId="0" xfId="0" applyAlignment="1" applyBorder="1" applyFill="1" applyFont="1">
      <alignment horizontal="center" shrinkToFit="0" vertical="center" wrapText="1"/>
    </xf>
    <xf borderId="0" fillId="0" fontId="12" numFmtId="0" xfId="0" applyFont="1"/>
    <xf borderId="0" fillId="0" fontId="9" numFmtId="0" xfId="0" applyAlignment="1" applyFont="1">
      <alignment horizontal="center" shrinkToFit="0" vertical="center" wrapText="1"/>
    </xf>
    <xf borderId="5" fillId="5" fontId="12" numFmtId="0" xfId="0" applyBorder="1" applyFont="1"/>
    <xf borderId="6" fillId="5" fontId="9" numFmtId="0" xfId="0" applyAlignment="1" applyBorder="1" applyFont="1">
      <alignment horizontal="left" shrinkToFit="0" vertical="center" wrapText="1"/>
    </xf>
    <xf borderId="6" fillId="5" fontId="10" numFmtId="0" xfId="0" applyBorder="1" applyFont="1"/>
    <xf borderId="6" fillId="5" fontId="12" numFmtId="0" xfId="0" applyBorder="1" applyFont="1"/>
    <xf borderId="7" fillId="5" fontId="12" numFmtId="0" xfId="0" applyBorder="1" applyFont="1"/>
    <xf borderId="8" fillId="5" fontId="12" numFmtId="0" xfId="0" applyBorder="1" applyFont="1"/>
    <xf borderId="4" fillId="6" fontId="13" numFmtId="0" xfId="0" applyAlignment="1" applyBorder="1" applyFill="1" applyFont="1">
      <alignment horizontal="center" vertical="center"/>
    </xf>
    <xf borderId="9" fillId="5" fontId="14" numFmtId="0" xfId="0" applyAlignment="1" applyBorder="1" applyFont="1">
      <alignment vertical="center"/>
    </xf>
    <xf borderId="1" fillId="6" fontId="13" numFmtId="0" xfId="0" applyAlignment="1" applyBorder="1" applyFont="1">
      <alignment horizontal="center" vertical="center"/>
    </xf>
    <xf borderId="9" fillId="5" fontId="12" numFmtId="0" xfId="0" applyBorder="1" applyFont="1"/>
    <xf borderId="10" fillId="5" fontId="12" numFmtId="0" xfId="0" applyBorder="1" applyFont="1"/>
    <xf borderId="4" fillId="7" fontId="15" numFmtId="0" xfId="0" applyAlignment="1" applyBorder="1" applyFill="1" applyFont="1">
      <alignment horizontal="center" readingOrder="0" vertical="center"/>
    </xf>
    <xf borderId="9" fillId="5" fontId="10" numFmtId="0" xfId="0" applyAlignment="1" applyBorder="1" applyFont="1">
      <alignment shrinkToFit="0" vertical="center" wrapText="1"/>
    </xf>
    <xf borderId="1" fillId="7" fontId="10" numFmtId="0" xfId="0" applyAlignment="1" applyBorder="1" applyFont="1">
      <alignment horizontal="center" vertical="center"/>
    </xf>
    <xf borderId="9" fillId="5" fontId="10" numFmtId="0" xfId="0" applyAlignment="1" applyBorder="1" applyFont="1">
      <alignment vertical="center"/>
    </xf>
    <xf borderId="9" fillId="5" fontId="15" numFmtId="0" xfId="0" applyAlignment="1" applyBorder="1" applyFont="1">
      <alignment horizontal="center" vertical="center"/>
    </xf>
    <xf borderId="9" fillId="5" fontId="10" numFmtId="0" xfId="0" applyAlignment="1" applyBorder="1" applyFont="1">
      <alignment horizontal="center" vertical="center"/>
    </xf>
    <xf borderId="4" fillId="7" fontId="15" numFmtId="0" xfId="0" applyAlignment="1" applyBorder="1" applyFont="1">
      <alignment horizontal="center" vertical="center"/>
    </xf>
    <xf borderId="11" fillId="8" fontId="13" numFmtId="0" xfId="0" applyAlignment="1" applyBorder="1" applyFill="1" applyFont="1">
      <alignment horizontal="center" vertical="center"/>
    </xf>
    <xf borderId="12" fillId="7" fontId="10" numFmtId="0" xfId="0" applyAlignment="1" applyBorder="1" applyFont="1">
      <alignment horizontal="center" shrinkToFit="0" vertical="center" wrapText="1"/>
    </xf>
    <xf borderId="13" fillId="0" fontId="3" numFmtId="0" xfId="0" applyBorder="1" applyFont="1"/>
    <xf borderId="9" fillId="5" fontId="12" numFmtId="0" xfId="0" applyAlignment="1" applyBorder="1" applyFont="1">
      <alignment horizontal="center"/>
    </xf>
    <xf borderId="14" fillId="0" fontId="3" numFmtId="0" xfId="0" applyBorder="1" applyFont="1"/>
    <xf borderId="12" fillId="7" fontId="10"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6" numFmtId="0" xfId="0" applyAlignment="1" applyBorder="1" applyFill="1" applyFont="1">
      <alignment horizontal="center" vertical="center"/>
    </xf>
    <xf borderId="22" fillId="2" fontId="15"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3" numFmtId="0" xfId="0" applyAlignment="1" applyBorder="1" applyFont="1">
      <alignment horizontal="center" vertical="center"/>
    </xf>
    <xf borderId="12" fillId="7" fontId="10" numFmtId="49" xfId="0" applyAlignment="1" applyBorder="1" applyFont="1" applyNumberFormat="1">
      <alignment horizontal="left" shrinkToFit="0" vertical="center" wrapText="1"/>
    </xf>
    <xf borderId="28" fillId="5" fontId="12" numFmtId="0" xfId="0" applyBorder="1" applyFont="1"/>
    <xf borderId="29" fillId="5" fontId="12" numFmtId="0" xfId="0" applyBorder="1" applyFont="1"/>
    <xf borderId="30" fillId="5" fontId="1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2" width="10.63"/>
    <col customWidth="1" min="13" max="13" width="32.75"/>
    <col customWidth="1" min="14" max="15" width="20.63"/>
    <col customWidth="1" min="16" max="26" width="9.38"/>
  </cols>
  <sheetData>
    <row r="1">
      <c r="A1" s="1">
        <v>4.0</v>
      </c>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97.5" customHeight="1">
      <c r="A6" s="1"/>
      <c r="B6" s="8" t="s">
        <v>15</v>
      </c>
      <c r="C6" s="9" t="s">
        <v>16</v>
      </c>
      <c r="D6" s="9" t="s">
        <v>17</v>
      </c>
      <c r="E6" s="9" t="s">
        <v>18</v>
      </c>
      <c r="F6" s="9" t="s">
        <v>19</v>
      </c>
      <c r="G6" s="9" t="s">
        <v>20</v>
      </c>
      <c r="H6" s="9" t="s">
        <v>21</v>
      </c>
      <c r="I6" s="9" t="s">
        <v>22</v>
      </c>
      <c r="J6" s="10">
        <v>45862.0</v>
      </c>
      <c r="K6" s="9" t="s">
        <v>23</v>
      </c>
      <c r="L6" s="9" t="s">
        <v>24</v>
      </c>
      <c r="M6" s="11" t="s">
        <v>25</v>
      </c>
      <c r="N6" s="9" t="s">
        <v>26</v>
      </c>
      <c r="O6" s="9" t="s">
        <v>27</v>
      </c>
      <c r="P6" s="1"/>
      <c r="Q6" s="1"/>
      <c r="R6" s="1"/>
      <c r="S6" s="1"/>
      <c r="T6" s="1"/>
      <c r="U6" s="1"/>
      <c r="V6" s="1"/>
      <c r="W6" s="1"/>
      <c r="X6" s="1"/>
      <c r="Y6" s="1"/>
      <c r="Z6" s="1"/>
    </row>
    <row r="7">
      <c r="A7" s="1"/>
      <c r="B7" s="8" t="s">
        <v>28</v>
      </c>
      <c r="C7" s="9" t="s">
        <v>29</v>
      </c>
      <c r="D7" s="9" t="s">
        <v>30</v>
      </c>
      <c r="E7" s="9" t="s">
        <v>31</v>
      </c>
      <c r="F7" s="9" t="s">
        <v>32</v>
      </c>
      <c r="G7" s="12" t="s">
        <v>33</v>
      </c>
      <c r="H7" s="9" t="s">
        <v>34</v>
      </c>
      <c r="I7" s="9" t="s">
        <v>35</v>
      </c>
      <c r="J7" s="10">
        <v>45862.0</v>
      </c>
      <c r="K7" s="9" t="s">
        <v>23</v>
      </c>
      <c r="L7" s="9" t="s">
        <v>24</v>
      </c>
      <c r="M7" s="9" t="s">
        <v>36</v>
      </c>
      <c r="N7" s="9" t="s">
        <v>37</v>
      </c>
      <c r="O7" s="9" t="s">
        <v>38</v>
      </c>
      <c r="P7" s="1"/>
      <c r="Q7" s="1"/>
      <c r="R7" s="1"/>
      <c r="S7" s="1"/>
      <c r="T7" s="1"/>
      <c r="U7" s="1"/>
      <c r="V7" s="1"/>
      <c r="W7" s="1"/>
      <c r="X7" s="1"/>
      <c r="Y7" s="1"/>
      <c r="Z7" s="1"/>
    </row>
    <row r="8" ht="75.75" customHeight="1">
      <c r="A8" s="1"/>
      <c r="B8" s="8" t="s">
        <v>39</v>
      </c>
      <c r="C8" s="9" t="s">
        <v>40</v>
      </c>
      <c r="D8" s="9" t="s">
        <v>41</v>
      </c>
      <c r="E8" s="9" t="s">
        <v>42</v>
      </c>
      <c r="F8" s="9" t="s">
        <v>43</v>
      </c>
      <c r="G8" s="12" t="s">
        <v>44</v>
      </c>
      <c r="H8" s="9" t="s">
        <v>45</v>
      </c>
      <c r="I8" s="9" t="s">
        <v>46</v>
      </c>
      <c r="J8" s="10">
        <v>45862.0</v>
      </c>
      <c r="K8" s="9" t="s">
        <v>23</v>
      </c>
      <c r="L8" s="9" t="s">
        <v>24</v>
      </c>
      <c r="M8" s="9" t="s">
        <v>47</v>
      </c>
      <c r="N8" s="9" t="s">
        <v>48</v>
      </c>
      <c r="O8" s="9" t="s">
        <v>49</v>
      </c>
      <c r="P8" s="1"/>
      <c r="Q8" s="1"/>
      <c r="R8" s="1"/>
      <c r="S8" s="1"/>
      <c r="T8" s="1"/>
      <c r="U8" s="1"/>
      <c r="V8" s="1"/>
      <c r="W8" s="1"/>
      <c r="X8" s="1"/>
      <c r="Y8" s="1"/>
      <c r="Z8" s="1"/>
    </row>
    <row r="9" ht="75.75" customHeight="1">
      <c r="A9" s="1"/>
      <c r="B9" s="8" t="s">
        <v>50</v>
      </c>
      <c r="C9" s="9" t="s">
        <v>51</v>
      </c>
      <c r="D9" s="12" t="s">
        <v>52</v>
      </c>
      <c r="E9" s="9" t="s">
        <v>53</v>
      </c>
      <c r="F9" s="13" t="s">
        <v>54</v>
      </c>
      <c r="G9" s="12" t="s">
        <v>55</v>
      </c>
      <c r="H9" s="9" t="s">
        <v>56</v>
      </c>
      <c r="I9" s="9" t="s">
        <v>57</v>
      </c>
      <c r="J9" s="10">
        <v>45862.0</v>
      </c>
      <c r="K9" s="9" t="s">
        <v>23</v>
      </c>
      <c r="L9" s="9" t="s">
        <v>24</v>
      </c>
      <c r="M9" s="9" t="s">
        <v>58</v>
      </c>
      <c r="N9" s="9" t="s">
        <v>59</v>
      </c>
      <c r="O9" s="9" t="s">
        <v>60</v>
      </c>
      <c r="P9" s="1"/>
      <c r="Q9" s="1"/>
      <c r="R9" s="1"/>
      <c r="S9" s="1"/>
      <c r="T9" s="1"/>
      <c r="U9" s="1"/>
      <c r="V9" s="1"/>
      <c r="W9" s="1"/>
      <c r="X9" s="1"/>
      <c r="Y9" s="1"/>
      <c r="Z9" s="1"/>
    </row>
    <row r="10" ht="64.5" customHeight="1">
      <c r="A10" s="1"/>
      <c r="B10" s="14"/>
      <c r="C10" s="15"/>
      <c r="D10" s="15"/>
      <c r="E10" s="15"/>
      <c r="F10" s="15"/>
      <c r="G10" s="15"/>
      <c r="H10" s="15"/>
      <c r="I10" s="15"/>
      <c r="J10" s="16"/>
      <c r="K10" s="15"/>
      <c r="L10" s="15"/>
      <c r="M10" s="17"/>
      <c r="N10" s="15"/>
      <c r="O10" s="15"/>
      <c r="P10" s="1"/>
      <c r="Q10" s="1"/>
      <c r="R10" s="1"/>
      <c r="S10" s="1"/>
      <c r="T10" s="1"/>
      <c r="U10" s="1"/>
      <c r="V10" s="1"/>
      <c r="W10" s="1"/>
      <c r="X10" s="1"/>
      <c r="Y10" s="1"/>
      <c r="Z10" s="1"/>
    </row>
    <row r="11" ht="61.5" customHeight="1">
      <c r="A11" s="1"/>
      <c r="B11" s="14"/>
      <c r="C11" s="15"/>
      <c r="D11" s="18"/>
      <c r="E11" s="15"/>
      <c r="F11" s="15"/>
      <c r="G11" s="19"/>
      <c r="H11" s="15"/>
      <c r="I11" s="15"/>
      <c r="J11" s="16"/>
      <c r="K11" s="15"/>
      <c r="L11" s="15"/>
      <c r="M11" s="15"/>
      <c r="N11" s="15"/>
      <c r="O11" s="15"/>
      <c r="P11" s="1"/>
      <c r="Q11" s="1"/>
      <c r="R11" s="1"/>
      <c r="S11" s="1"/>
      <c r="T11" s="1"/>
      <c r="U11" s="1"/>
      <c r="V11" s="1"/>
      <c r="W11" s="1"/>
      <c r="X11" s="1"/>
      <c r="Y11" s="1"/>
      <c r="Z11" s="1"/>
    </row>
    <row r="12" ht="70.5" customHeight="1">
      <c r="A12" s="1"/>
      <c r="B12" s="14"/>
      <c r="C12" s="15"/>
      <c r="D12" s="19"/>
      <c r="E12" s="15"/>
      <c r="F12" s="15"/>
      <c r="G12" s="19"/>
      <c r="H12" s="15"/>
      <c r="I12" s="15"/>
      <c r="J12" s="16"/>
      <c r="K12" s="15"/>
      <c r="L12" s="15"/>
      <c r="M12" s="15"/>
      <c r="N12" s="15"/>
      <c r="O12" s="15"/>
      <c r="P12" s="1"/>
      <c r="Q12" s="1"/>
      <c r="R12" s="1"/>
      <c r="S12" s="1"/>
      <c r="T12" s="1"/>
      <c r="U12" s="1"/>
      <c r="V12" s="1"/>
      <c r="W12" s="1"/>
      <c r="X12" s="1"/>
      <c r="Y12" s="1"/>
      <c r="Z12" s="1"/>
    </row>
    <row r="13" ht="61.5" customHeight="1">
      <c r="A13" s="1"/>
      <c r="B13" s="14"/>
      <c r="C13" s="15"/>
      <c r="D13" s="19"/>
      <c r="E13" s="15"/>
      <c r="F13" s="15"/>
      <c r="G13" s="19"/>
      <c r="H13" s="15"/>
      <c r="I13" s="15"/>
      <c r="J13" s="16"/>
      <c r="K13" s="15"/>
      <c r="L13" s="15"/>
      <c r="M13" s="15"/>
      <c r="N13" s="20"/>
      <c r="O13" s="15"/>
      <c r="P13" s="1"/>
      <c r="Q13" s="1"/>
      <c r="R13" s="1"/>
      <c r="S13" s="1"/>
      <c r="T13" s="1"/>
      <c r="U13" s="1"/>
      <c r="V13" s="1"/>
      <c r="W13" s="1"/>
      <c r="X13" s="1"/>
      <c r="Y13" s="1"/>
      <c r="Z13" s="1"/>
    </row>
    <row r="14" ht="58.5" customHeight="1">
      <c r="A14" s="1"/>
      <c r="B14" s="14"/>
      <c r="C14" s="15"/>
      <c r="D14" s="15"/>
      <c r="E14" s="15"/>
      <c r="F14" s="15"/>
      <c r="G14" s="19"/>
      <c r="H14" s="15"/>
      <c r="I14" s="15"/>
      <c r="J14" s="16"/>
      <c r="K14" s="15"/>
      <c r="L14" s="15"/>
      <c r="M14" s="15"/>
      <c r="N14" s="20"/>
      <c r="O14" s="15"/>
      <c r="P14" s="1"/>
      <c r="Q14" s="1"/>
      <c r="R14" s="1"/>
      <c r="S14" s="1"/>
      <c r="T14" s="1"/>
      <c r="U14" s="1"/>
      <c r="V14" s="1"/>
      <c r="W14" s="1"/>
      <c r="X14" s="1"/>
      <c r="Y14" s="1"/>
      <c r="Z14" s="1"/>
    </row>
    <row r="15" ht="39.75" customHeight="1">
      <c r="A15" s="1"/>
      <c r="B15" s="14"/>
      <c r="C15" s="15"/>
      <c r="D15" s="15"/>
      <c r="E15" s="15"/>
      <c r="F15" s="15"/>
      <c r="G15" s="19"/>
      <c r="H15" s="15"/>
      <c r="I15" s="15"/>
      <c r="J15" s="16"/>
      <c r="K15" s="15"/>
      <c r="L15" s="15"/>
      <c r="M15" s="15"/>
      <c r="N15" s="20"/>
      <c r="O15" s="15"/>
      <c r="P15" s="1"/>
      <c r="Q15" s="1"/>
      <c r="R15" s="1"/>
      <c r="S15" s="1"/>
      <c r="T15" s="1"/>
      <c r="U15" s="1"/>
      <c r="V15" s="1"/>
      <c r="W15" s="1"/>
      <c r="X15" s="1"/>
      <c r="Y15" s="1"/>
      <c r="Z15" s="1"/>
    </row>
    <row r="16" ht="72.0" customHeight="1">
      <c r="A16" s="1"/>
      <c r="B16" s="14"/>
      <c r="C16" s="15"/>
      <c r="D16" s="15"/>
      <c r="E16" s="15"/>
      <c r="F16" s="15"/>
      <c r="G16" s="19"/>
      <c r="H16" s="15"/>
      <c r="I16" s="15"/>
      <c r="J16" s="16"/>
      <c r="K16" s="15"/>
      <c r="L16" s="15"/>
      <c r="M16" s="15"/>
      <c r="N16" s="20"/>
      <c r="O16" s="15"/>
      <c r="P16" s="1"/>
      <c r="Q16" s="1"/>
      <c r="R16" s="1"/>
      <c r="S16" s="1"/>
      <c r="T16" s="1"/>
      <c r="U16" s="1"/>
      <c r="V16" s="1"/>
      <c r="W16" s="1"/>
      <c r="X16" s="1"/>
      <c r="Y16" s="1"/>
      <c r="Z16" s="1"/>
    </row>
    <row r="17" ht="39.75" customHeight="1">
      <c r="A17" s="1"/>
      <c r="B17" s="14"/>
      <c r="C17" s="15"/>
      <c r="D17" s="15"/>
      <c r="E17" s="15"/>
      <c r="F17" s="15"/>
      <c r="G17" s="19"/>
      <c r="H17" s="15"/>
      <c r="I17" s="15"/>
      <c r="J17" s="16"/>
      <c r="K17" s="15"/>
      <c r="L17" s="15"/>
      <c r="M17" s="15"/>
      <c r="N17" s="20"/>
      <c r="O17" s="15"/>
      <c r="P17" s="1"/>
      <c r="Q17" s="1"/>
      <c r="R17" s="1"/>
      <c r="S17" s="1"/>
      <c r="T17" s="1"/>
      <c r="U17" s="1"/>
      <c r="V17" s="1"/>
      <c r="W17" s="1"/>
      <c r="X17" s="1"/>
      <c r="Y17" s="1"/>
      <c r="Z17" s="1"/>
    </row>
    <row r="18" ht="39.75" customHeight="1">
      <c r="A18" s="1"/>
      <c r="B18" s="14"/>
      <c r="C18" s="15"/>
      <c r="D18" s="15"/>
      <c r="E18" s="15"/>
      <c r="F18" s="15"/>
      <c r="G18" s="19"/>
      <c r="H18" s="15"/>
      <c r="I18" s="15"/>
      <c r="J18" s="16"/>
      <c r="K18" s="15"/>
      <c r="L18" s="15"/>
      <c r="M18" s="15"/>
      <c r="N18" s="20"/>
      <c r="O18" s="15"/>
      <c r="P18" s="1"/>
      <c r="Q18" s="1"/>
      <c r="R18" s="1"/>
      <c r="S18" s="1"/>
      <c r="T18" s="1"/>
      <c r="U18" s="1"/>
      <c r="V18" s="1"/>
      <c r="W18" s="1"/>
      <c r="X18" s="1"/>
      <c r="Y18" s="1"/>
      <c r="Z18" s="1"/>
    </row>
    <row r="19" ht="39.75" customHeight="1">
      <c r="A19" s="1"/>
      <c r="B19" s="14"/>
      <c r="C19" s="15"/>
      <c r="D19" s="15"/>
      <c r="E19" s="15"/>
      <c r="F19" s="15"/>
      <c r="G19" s="19"/>
      <c r="H19" s="15"/>
      <c r="I19" s="15"/>
      <c r="J19" s="16"/>
      <c r="K19" s="15"/>
      <c r="L19" s="15"/>
      <c r="M19" s="15"/>
      <c r="N19" s="20"/>
      <c r="O19" s="15"/>
      <c r="P19" s="1"/>
      <c r="Q19" s="1"/>
      <c r="R19" s="1"/>
      <c r="S19" s="1"/>
      <c r="T19" s="1"/>
      <c r="U19" s="1"/>
      <c r="V19" s="1"/>
      <c r="W19" s="1"/>
      <c r="X19" s="1"/>
      <c r="Y19" s="1"/>
      <c r="Z19" s="1"/>
    </row>
    <row r="20">
      <c r="A20" s="1"/>
      <c r="B20" s="21"/>
      <c r="C20" s="22"/>
      <c r="D20" s="22"/>
      <c r="E20" s="22"/>
      <c r="F20" s="22"/>
      <c r="G20" s="22"/>
      <c r="H20" s="15"/>
      <c r="I20" s="15"/>
      <c r="J20" s="16"/>
      <c r="K20" s="15"/>
      <c r="L20" s="15"/>
      <c r="M20" s="23"/>
      <c r="N20" s="22"/>
      <c r="O20" s="24"/>
      <c r="P20" s="1"/>
      <c r="Q20" s="1"/>
      <c r="R20" s="1"/>
      <c r="S20" s="1"/>
      <c r="T20" s="1"/>
      <c r="U20" s="1"/>
      <c r="V20" s="1"/>
      <c r="W20" s="1"/>
      <c r="X20" s="1"/>
      <c r="Y20" s="1"/>
      <c r="Z20" s="1"/>
    </row>
    <row r="21" ht="15.75" customHeight="1">
      <c r="A21" s="1"/>
      <c r="B21" s="21"/>
      <c r="C21" s="22"/>
      <c r="D21" s="22"/>
      <c r="E21" s="22"/>
      <c r="F21" s="22"/>
      <c r="G21" s="22"/>
      <c r="H21" s="15"/>
      <c r="I21" s="15"/>
      <c r="J21" s="16"/>
      <c r="K21" s="15"/>
      <c r="L21" s="15"/>
      <c r="M21" s="22"/>
      <c r="N21" s="22"/>
      <c r="O21" s="24"/>
      <c r="P21" s="1"/>
      <c r="Q21" s="1"/>
      <c r="R21" s="1"/>
      <c r="S21" s="1"/>
      <c r="T21" s="1"/>
      <c r="U21" s="1"/>
      <c r="V21" s="1"/>
      <c r="W21" s="1"/>
      <c r="X21" s="1"/>
      <c r="Y21" s="1"/>
      <c r="Z21" s="1"/>
    </row>
    <row r="22" ht="15.75" customHeight="1">
      <c r="A22" s="1"/>
      <c r="B22" s="21"/>
      <c r="C22" s="22"/>
      <c r="D22" s="22"/>
      <c r="E22" s="22"/>
      <c r="F22" s="22"/>
      <c r="G22" s="22"/>
      <c r="H22" s="15"/>
      <c r="I22" s="15"/>
      <c r="J22" s="16"/>
      <c r="K22" s="15"/>
      <c r="L22" s="15"/>
      <c r="M22" s="22"/>
      <c r="N22" s="22"/>
      <c r="O22" s="24"/>
      <c r="P22" s="1"/>
      <c r="Q22" s="1"/>
      <c r="R22" s="1"/>
      <c r="S22" s="1"/>
      <c r="T22" s="1"/>
      <c r="U22" s="1"/>
      <c r="V22" s="1"/>
      <c r="W22" s="1"/>
      <c r="X22" s="1"/>
      <c r="Y22" s="1"/>
      <c r="Z22" s="1"/>
    </row>
    <row r="23" ht="15.75" customHeight="1">
      <c r="A23" s="1"/>
      <c r="B23" s="21"/>
      <c r="C23" s="22"/>
      <c r="D23" s="22"/>
      <c r="E23" s="22"/>
      <c r="F23" s="22"/>
      <c r="G23" s="22"/>
      <c r="H23" s="15"/>
      <c r="I23" s="15"/>
      <c r="J23" s="16"/>
      <c r="K23" s="15"/>
      <c r="L23" s="15"/>
      <c r="M23" s="22"/>
      <c r="N23" s="22"/>
      <c r="O23" s="24"/>
      <c r="P23" s="1"/>
      <c r="Q23" s="1"/>
      <c r="R23" s="1"/>
      <c r="S23" s="1"/>
      <c r="T23" s="1"/>
      <c r="U23" s="1"/>
      <c r="V23" s="1"/>
      <c r="W23" s="1"/>
      <c r="X23" s="1"/>
      <c r="Y23" s="1"/>
      <c r="Z23" s="1"/>
    </row>
    <row r="24" ht="15.75" customHeight="1">
      <c r="A24" s="1"/>
      <c r="B24" s="21"/>
      <c r="C24" s="15"/>
      <c r="D24" s="15"/>
      <c r="E24" s="15"/>
      <c r="F24" s="15"/>
      <c r="G24" s="15"/>
      <c r="H24" s="15"/>
      <c r="I24" s="15"/>
      <c r="J24" s="16"/>
      <c r="K24" s="15"/>
      <c r="L24" s="15"/>
      <c r="M24" s="17"/>
      <c r="N24" s="15"/>
      <c r="O24" s="15"/>
      <c r="P24" s="1"/>
      <c r="Q24" s="1"/>
      <c r="R24" s="1"/>
      <c r="S24" s="1"/>
      <c r="T24" s="1"/>
      <c r="U24" s="1"/>
      <c r="V24" s="1"/>
      <c r="W24" s="1"/>
      <c r="X24" s="1"/>
      <c r="Y24" s="1"/>
      <c r="Z24" s="1"/>
    </row>
    <row r="25" ht="75.75" customHeight="1">
      <c r="A25" s="1"/>
      <c r="B25" s="21"/>
      <c r="C25" s="15"/>
      <c r="D25" s="15"/>
      <c r="E25" s="15"/>
      <c r="F25" s="15"/>
      <c r="G25" s="15"/>
      <c r="H25" s="15"/>
      <c r="I25" s="15"/>
      <c r="J25" s="16"/>
      <c r="K25" s="15"/>
      <c r="L25" s="15"/>
      <c r="M25" s="17"/>
      <c r="N25" s="15"/>
      <c r="O25" s="15"/>
      <c r="P25" s="1"/>
      <c r="Q25" s="1"/>
      <c r="R25" s="1"/>
      <c r="S25" s="1"/>
      <c r="T25" s="1"/>
      <c r="U25" s="1"/>
      <c r="V25" s="1"/>
      <c r="W25" s="1"/>
      <c r="X25" s="1"/>
      <c r="Y25" s="1"/>
      <c r="Z25" s="1"/>
    </row>
    <row r="26" ht="75.75" customHeight="1">
      <c r="A26" s="1"/>
      <c r="B26" s="21"/>
      <c r="C26" s="15"/>
      <c r="D26" s="15"/>
      <c r="E26" s="15"/>
      <c r="F26" s="15"/>
      <c r="G26" s="19"/>
      <c r="H26" s="15"/>
      <c r="I26" s="15"/>
      <c r="J26" s="16"/>
      <c r="K26" s="15"/>
      <c r="L26" s="15"/>
      <c r="M26" s="17"/>
      <c r="N26" s="15"/>
      <c r="O26" s="15"/>
      <c r="P26" s="1"/>
      <c r="Q26" s="1"/>
      <c r="R26" s="1"/>
      <c r="S26" s="1"/>
      <c r="T26" s="1"/>
      <c r="U26" s="1"/>
      <c r="V26" s="1"/>
      <c r="W26" s="1"/>
      <c r="X26" s="1"/>
      <c r="Y26" s="1"/>
      <c r="Z26" s="1"/>
    </row>
    <row r="27" ht="75.75" customHeight="1">
      <c r="A27" s="1"/>
      <c r="B27" s="21"/>
      <c r="C27" s="15"/>
      <c r="D27" s="19"/>
      <c r="E27" s="15"/>
      <c r="F27" s="15"/>
      <c r="G27" s="19"/>
      <c r="H27" s="15"/>
      <c r="I27" s="15"/>
      <c r="J27" s="16"/>
      <c r="K27" s="15"/>
      <c r="L27" s="15"/>
      <c r="M27" s="17"/>
      <c r="N27" s="15"/>
      <c r="O27" s="15"/>
      <c r="P27" s="1"/>
      <c r="Q27" s="1"/>
      <c r="R27" s="1"/>
      <c r="S27" s="1"/>
      <c r="T27" s="1"/>
      <c r="U27" s="1"/>
      <c r="V27" s="1"/>
      <c r="W27" s="1"/>
      <c r="X27" s="1"/>
      <c r="Y27" s="1"/>
      <c r="Z27" s="1"/>
    </row>
    <row r="28" ht="19.5" customHeight="1">
      <c r="A28" s="1"/>
      <c r="B28" s="1"/>
      <c r="C28" s="1"/>
      <c r="D28" s="1"/>
      <c r="E28" s="1"/>
      <c r="F28" s="1"/>
      <c r="G28" s="1"/>
      <c r="H28" s="1"/>
      <c r="I28" s="2"/>
      <c r="J28" s="2"/>
      <c r="K28" s="25"/>
      <c r="L28" s="2"/>
      <c r="M28" s="1"/>
      <c r="N28" s="1"/>
      <c r="O28" s="1"/>
      <c r="P28" s="1"/>
      <c r="Q28" s="1"/>
      <c r="R28" s="1"/>
      <c r="S28" s="1"/>
      <c r="T28" s="1"/>
      <c r="U28" s="1"/>
      <c r="V28" s="1"/>
      <c r="W28" s="1"/>
      <c r="X28" s="1"/>
      <c r="Y28" s="1"/>
      <c r="Z28" s="1"/>
    </row>
    <row r="29" ht="19.5" customHeight="1">
      <c r="A29" s="1"/>
      <c r="B29" s="1"/>
      <c r="C29" s="1"/>
      <c r="D29" s="1"/>
      <c r="E29" s="1"/>
      <c r="F29" s="1"/>
      <c r="G29" s="1"/>
      <c r="H29" s="1"/>
      <c r="I29" s="2"/>
      <c r="J29" s="2"/>
      <c r="K29" s="25"/>
      <c r="L29" s="2"/>
      <c r="M29" s="1"/>
      <c r="N29" s="1"/>
      <c r="O29" s="1"/>
      <c r="P29" s="1"/>
      <c r="Q29" s="1"/>
      <c r="R29" s="1"/>
      <c r="S29" s="1"/>
      <c r="T29" s="1"/>
      <c r="U29" s="1"/>
      <c r="V29" s="1"/>
      <c r="W29" s="1"/>
      <c r="X29" s="1"/>
      <c r="Y29" s="1"/>
      <c r="Z29" s="1"/>
    </row>
    <row r="30" ht="19.5" customHeight="1">
      <c r="A30" s="1"/>
      <c r="B30" s="1"/>
      <c r="C30" s="1"/>
      <c r="D30" s="1"/>
      <c r="E30" s="1"/>
      <c r="F30" s="1"/>
      <c r="G30" s="1"/>
      <c r="H30" s="1"/>
      <c r="I30" s="2"/>
      <c r="J30" s="2"/>
      <c r="K30" s="3"/>
      <c r="L30" s="2"/>
      <c r="M30" s="1"/>
      <c r="N30" s="1"/>
      <c r="O30" s="1"/>
      <c r="P30" s="1"/>
      <c r="Q30" s="1"/>
      <c r="R30" s="1"/>
      <c r="S30" s="1"/>
      <c r="T30" s="1"/>
      <c r="U30" s="1"/>
      <c r="V30" s="1"/>
      <c r="W30" s="1"/>
      <c r="X30" s="1"/>
      <c r="Y30" s="1"/>
      <c r="Z30" s="1"/>
    </row>
    <row r="31" ht="19.5" customHeight="1">
      <c r="A31" s="1"/>
      <c r="B31" s="1"/>
      <c r="C31" s="1"/>
      <c r="D31" s="1"/>
      <c r="E31" s="1"/>
      <c r="F31" s="1"/>
      <c r="G31" s="1"/>
      <c r="H31" s="1"/>
      <c r="I31" s="2"/>
      <c r="J31" s="1"/>
      <c r="K31" s="1"/>
      <c r="L31" s="1"/>
      <c r="M31" s="1"/>
      <c r="N31" s="1"/>
      <c r="O31" s="1"/>
      <c r="P31" s="1"/>
      <c r="Q31" s="1"/>
      <c r="R31" s="1"/>
      <c r="S31" s="1"/>
      <c r="T31" s="1"/>
      <c r="U31" s="1"/>
      <c r="V31" s="1"/>
      <c r="W31" s="1"/>
      <c r="X31" s="1"/>
      <c r="Y31" s="1"/>
      <c r="Z31" s="1"/>
    </row>
    <row r="32" ht="19.5" customHeight="1">
      <c r="A32" s="1"/>
      <c r="B32" s="1"/>
      <c r="C32" s="1"/>
      <c r="D32" s="1"/>
      <c r="E32" s="1"/>
      <c r="F32" s="1"/>
      <c r="G32" s="1"/>
      <c r="H32" s="1"/>
      <c r="I32" s="2"/>
      <c r="J32" s="1"/>
      <c r="K32" s="1"/>
      <c r="L32" s="1"/>
      <c r="M32" s="1"/>
      <c r="N32" s="1"/>
      <c r="O32" s="1"/>
      <c r="P32" s="1"/>
      <c r="Q32" s="1"/>
      <c r="R32" s="1"/>
      <c r="S32" s="1"/>
      <c r="T32" s="1"/>
      <c r="U32" s="1"/>
      <c r="V32" s="1"/>
      <c r="W32" s="1"/>
      <c r="X32" s="1"/>
      <c r="Y32" s="1"/>
      <c r="Z32" s="1"/>
    </row>
    <row r="33" ht="19.5" customHeight="1">
      <c r="A33" s="1"/>
      <c r="B33" s="1"/>
      <c r="C33" s="1"/>
      <c r="D33" s="1"/>
      <c r="E33" s="1"/>
      <c r="F33" s="1"/>
      <c r="G33" s="1"/>
      <c r="H33" s="1"/>
      <c r="I33" s="2"/>
      <c r="J33" s="1"/>
      <c r="K33" s="3" t="s">
        <v>23</v>
      </c>
      <c r="L33" s="3" t="s">
        <v>61</v>
      </c>
      <c r="M33" s="1"/>
      <c r="N33" s="1"/>
      <c r="O33" s="1"/>
      <c r="P33" s="1"/>
      <c r="Q33" s="1"/>
      <c r="R33" s="1"/>
      <c r="S33" s="1"/>
      <c r="T33" s="1"/>
      <c r="U33" s="1"/>
      <c r="V33" s="1"/>
      <c r="W33" s="1"/>
      <c r="X33" s="1"/>
      <c r="Y33" s="1"/>
      <c r="Z33" s="1"/>
    </row>
    <row r="34" ht="19.5" customHeight="1">
      <c r="A34" s="1"/>
      <c r="B34" s="1"/>
      <c r="C34" s="1"/>
      <c r="D34" s="1"/>
      <c r="E34" s="1"/>
      <c r="F34" s="1"/>
      <c r="G34" s="1"/>
      <c r="H34" s="1"/>
      <c r="I34" s="2"/>
      <c r="J34" s="1"/>
      <c r="K34" s="3" t="s">
        <v>62</v>
      </c>
      <c r="L34" s="3" t="s">
        <v>63</v>
      </c>
      <c r="M34" s="1"/>
      <c r="N34" s="1"/>
      <c r="O34" s="1"/>
      <c r="P34" s="1"/>
      <c r="Q34" s="1"/>
      <c r="R34" s="1"/>
      <c r="S34" s="1"/>
      <c r="T34" s="1"/>
      <c r="U34" s="1"/>
      <c r="V34" s="1"/>
      <c r="W34" s="1"/>
      <c r="X34" s="1"/>
      <c r="Y34" s="1"/>
      <c r="Z34" s="1"/>
    </row>
    <row r="35" ht="19.5" customHeight="1">
      <c r="A35" s="1"/>
      <c r="B35" s="1"/>
      <c r="C35" s="1"/>
      <c r="D35" s="1"/>
      <c r="E35" s="1"/>
      <c r="F35" s="1"/>
      <c r="G35" s="1"/>
      <c r="H35" s="1"/>
      <c r="I35" s="2"/>
      <c r="J35" s="1"/>
      <c r="K35" s="3" t="s">
        <v>64</v>
      </c>
      <c r="L35" s="3" t="s">
        <v>24</v>
      </c>
      <c r="M35" s="1"/>
      <c r="N35" s="1"/>
      <c r="O35" s="1"/>
      <c r="P35" s="1"/>
      <c r="Q35" s="1"/>
      <c r="R35" s="1"/>
      <c r="S35" s="1"/>
      <c r="T35" s="1"/>
      <c r="U35" s="1"/>
      <c r="V35" s="1"/>
      <c r="W35" s="1"/>
      <c r="X35" s="1"/>
      <c r="Y35" s="1"/>
      <c r="Z35" s="1"/>
    </row>
    <row r="36" ht="19.5" customHeight="1">
      <c r="A36" s="1"/>
      <c r="B36" s="1"/>
      <c r="C36" s="1"/>
      <c r="D36" s="1"/>
      <c r="E36" s="1"/>
      <c r="F36" s="1"/>
      <c r="G36" s="1"/>
      <c r="H36" s="1"/>
      <c r="I36" s="2"/>
      <c r="J36" s="1"/>
      <c r="K36" s="3"/>
      <c r="L36" s="3" t="s">
        <v>65</v>
      </c>
      <c r="M36" s="1"/>
      <c r="N36" s="1"/>
      <c r="O36" s="1"/>
      <c r="P36" s="1"/>
      <c r="Q36" s="1"/>
      <c r="R36" s="1"/>
      <c r="S36" s="1"/>
      <c r="T36" s="1"/>
      <c r="U36" s="1"/>
      <c r="V36" s="1"/>
      <c r="W36" s="1"/>
      <c r="X36" s="1"/>
      <c r="Y36" s="1"/>
      <c r="Z36" s="1"/>
    </row>
    <row r="37" ht="19.5" customHeight="1">
      <c r="A37" s="1"/>
      <c r="B37" s="1"/>
      <c r="C37" s="1"/>
      <c r="D37" s="1"/>
      <c r="E37" s="1"/>
      <c r="F37" s="1"/>
      <c r="G37" s="1"/>
      <c r="H37" s="1"/>
      <c r="I37" s="2"/>
      <c r="J37" s="1"/>
      <c r="K37" s="1"/>
      <c r="L37" s="1"/>
      <c r="M37" s="1"/>
      <c r="N37" s="1"/>
      <c r="O37" s="1"/>
      <c r="P37" s="1"/>
      <c r="Q37" s="1"/>
      <c r="R37" s="1"/>
      <c r="S37" s="1"/>
      <c r="T37" s="1"/>
      <c r="U37" s="1"/>
      <c r="V37" s="1"/>
      <c r="W37" s="1"/>
      <c r="X37" s="1"/>
      <c r="Y37" s="1"/>
      <c r="Z37" s="1"/>
    </row>
    <row r="38" ht="19.5" customHeight="1">
      <c r="A38" s="1"/>
      <c r="B38" s="1"/>
      <c r="C38" s="1"/>
      <c r="D38" s="1"/>
      <c r="E38" s="1"/>
      <c r="F38" s="1"/>
      <c r="G38" s="1"/>
      <c r="H38" s="1"/>
      <c r="I38" s="2"/>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2"/>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2"/>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2"/>
      <c r="J41" s="2"/>
      <c r="K41" s="3"/>
      <c r="L41" s="2"/>
      <c r="M41" s="1"/>
      <c r="N41" s="1"/>
      <c r="O41" s="1"/>
      <c r="P41" s="1"/>
      <c r="Q41" s="1"/>
      <c r="R41" s="1"/>
      <c r="S41" s="1"/>
      <c r="T41" s="1"/>
      <c r="U41" s="1"/>
      <c r="V41" s="1"/>
      <c r="W41" s="1"/>
      <c r="X41" s="1"/>
      <c r="Y41" s="1"/>
      <c r="Z41" s="1"/>
    </row>
    <row r="42" ht="15.75" customHeight="1">
      <c r="A42" s="1"/>
      <c r="B42" s="1"/>
      <c r="C42" s="1"/>
      <c r="D42" s="1"/>
      <c r="E42" s="1"/>
      <c r="F42" s="1"/>
      <c r="G42" s="1"/>
      <c r="H42" s="1"/>
      <c r="I42" s="2"/>
      <c r="J42" s="2"/>
      <c r="K42" s="3"/>
      <c r="L42" s="2"/>
      <c r="M42" s="1"/>
      <c r="N42" s="1"/>
      <c r="O42" s="1"/>
      <c r="P42" s="1"/>
      <c r="Q42" s="1"/>
      <c r="R42" s="1"/>
      <c r="S42" s="1"/>
      <c r="T42" s="1"/>
      <c r="U42" s="1"/>
      <c r="V42" s="1"/>
      <c r="W42" s="1"/>
      <c r="X42" s="1"/>
      <c r="Y42" s="1"/>
      <c r="Z42" s="1"/>
    </row>
    <row r="43" ht="15.75" customHeight="1">
      <c r="A43" s="1"/>
      <c r="B43" s="1"/>
      <c r="C43" s="1"/>
      <c r="D43" s="1"/>
      <c r="E43" s="1"/>
      <c r="F43" s="1"/>
      <c r="G43" s="1"/>
      <c r="H43" s="1"/>
      <c r="I43" s="2"/>
      <c r="J43" s="2"/>
      <c r="K43" s="3"/>
      <c r="L43" s="2"/>
      <c r="M43" s="1"/>
      <c r="N43" s="1"/>
      <c r="O43" s="1"/>
      <c r="P43" s="1"/>
      <c r="Q43" s="1"/>
      <c r="R43" s="1"/>
      <c r="S43" s="1"/>
      <c r="T43" s="1"/>
      <c r="U43" s="1"/>
      <c r="V43" s="1"/>
      <c r="W43" s="1"/>
      <c r="X43" s="1"/>
      <c r="Y43" s="1"/>
      <c r="Z43" s="1"/>
    </row>
    <row r="44" ht="15.75" customHeight="1">
      <c r="A44" s="1"/>
      <c r="B44" s="1"/>
      <c r="C44" s="1"/>
      <c r="D44" s="1"/>
      <c r="E44" s="1"/>
      <c r="F44" s="1"/>
      <c r="G44" s="1"/>
      <c r="H44" s="1"/>
      <c r="I44" s="2"/>
      <c r="J44" s="2"/>
      <c r="K44" s="3"/>
      <c r="L44" s="2"/>
      <c r="M44" s="1"/>
      <c r="N44" s="1"/>
      <c r="O44" s="1"/>
      <c r="P44" s="1"/>
      <c r="Q44" s="1"/>
      <c r="R44" s="1"/>
      <c r="S44" s="1"/>
      <c r="T44" s="1"/>
      <c r="U44" s="1"/>
      <c r="V44" s="1"/>
      <c r="W44" s="1"/>
      <c r="X44" s="1"/>
      <c r="Y44" s="1"/>
      <c r="Z44" s="1"/>
    </row>
    <row r="45" ht="15.75" customHeight="1">
      <c r="A45" s="1"/>
      <c r="B45" s="1"/>
      <c r="C45" s="1"/>
      <c r="D45" s="1"/>
      <c r="E45" s="1"/>
      <c r="F45" s="1"/>
      <c r="G45" s="1"/>
      <c r="H45" s="1"/>
      <c r="I45" s="2"/>
      <c r="J45" s="2"/>
      <c r="K45" s="3"/>
      <c r="L45" s="2"/>
      <c r="M45" s="1"/>
      <c r="N45" s="1"/>
      <c r="O45" s="1"/>
      <c r="P45" s="1"/>
      <c r="Q45" s="1"/>
      <c r="R45" s="1"/>
      <c r="S45" s="1"/>
      <c r="T45" s="1"/>
      <c r="U45" s="1"/>
      <c r="V45" s="1"/>
      <c r="W45" s="1"/>
      <c r="X45" s="1"/>
      <c r="Y45" s="1"/>
      <c r="Z45" s="1"/>
    </row>
    <row r="46" ht="15.75" customHeight="1">
      <c r="A46" s="1"/>
      <c r="B46" s="1"/>
      <c r="C46" s="1"/>
      <c r="D46" s="1"/>
      <c r="E46" s="1"/>
      <c r="F46" s="1"/>
      <c r="G46" s="1"/>
      <c r="H46" s="1"/>
      <c r="I46" s="2"/>
      <c r="J46" s="2"/>
      <c r="K46" s="3"/>
      <c r="L46" s="2"/>
      <c r="M46" s="1"/>
      <c r="N46" s="1"/>
      <c r="O46" s="1"/>
      <c r="P46" s="1"/>
      <c r="Q46" s="1"/>
      <c r="R46" s="1"/>
      <c r="S46" s="1"/>
      <c r="T46" s="1"/>
      <c r="U46" s="1"/>
      <c r="V46" s="1"/>
      <c r="W46" s="1"/>
      <c r="X46" s="1"/>
      <c r="Y46" s="1"/>
      <c r="Z46" s="1"/>
    </row>
    <row r="47" ht="15.75" customHeight="1">
      <c r="A47" s="1"/>
      <c r="B47" s="1"/>
      <c r="C47" s="1"/>
      <c r="D47" s="1"/>
      <c r="E47" s="1"/>
      <c r="F47" s="1"/>
      <c r="G47" s="1"/>
      <c r="H47" s="1"/>
      <c r="I47" s="2"/>
      <c r="J47" s="2"/>
      <c r="K47" s="3"/>
      <c r="L47" s="2"/>
      <c r="M47" s="1"/>
      <c r="N47" s="1"/>
      <c r="O47" s="1"/>
      <c r="P47" s="1"/>
      <c r="Q47" s="1"/>
      <c r="R47" s="1"/>
      <c r="S47" s="1"/>
      <c r="T47" s="1"/>
      <c r="U47" s="1"/>
      <c r="V47" s="1"/>
      <c r="W47" s="1"/>
      <c r="X47" s="1"/>
      <c r="Y47" s="1"/>
      <c r="Z47" s="1"/>
    </row>
    <row r="48" ht="15.75" customHeight="1">
      <c r="A48" s="1"/>
      <c r="B48" s="1"/>
      <c r="C48" s="1"/>
      <c r="D48" s="1"/>
      <c r="E48" s="1"/>
      <c r="F48" s="1"/>
      <c r="G48" s="1"/>
      <c r="H48" s="1"/>
      <c r="I48" s="2"/>
      <c r="J48" s="2"/>
      <c r="K48" s="3"/>
      <c r="L48" s="2"/>
      <c r="M48" s="1"/>
      <c r="N48" s="1"/>
      <c r="O48" s="1"/>
      <c r="P48" s="1"/>
      <c r="Q48" s="1"/>
      <c r="R48" s="1"/>
      <c r="S48" s="1"/>
      <c r="T48" s="1"/>
      <c r="U48" s="1"/>
      <c r="V48" s="1"/>
      <c r="W48" s="1"/>
      <c r="X48" s="1"/>
      <c r="Y48" s="1"/>
      <c r="Z48" s="1"/>
    </row>
    <row r="49" ht="15.75" customHeight="1">
      <c r="A49" s="1"/>
      <c r="B49" s="1"/>
      <c r="C49" s="1"/>
      <c r="D49" s="1"/>
      <c r="E49" s="1"/>
      <c r="F49" s="1"/>
      <c r="G49" s="1"/>
      <c r="H49" s="1"/>
      <c r="I49" s="2"/>
      <c r="J49" s="2"/>
      <c r="K49" s="3"/>
      <c r="L49" s="2"/>
      <c r="M49" s="1"/>
      <c r="N49" s="1"/>
      <c r="O49" s="1"/>
      <c r="P49" s="1"/>
      <c r="Q49" s="1"/>
      <c r="R49" s="1"/>
      <c r="S49" s="1"/>
      <c r="T49" s="1"/>
      <c r="U49" s="1"/>
      <c r="V49" s="1"/>
      <c r="W49" s="1"/>
      <c r="X49" s="1"/>
      <c r="Y49" s="1"/>
      <c r="Z49" s="1"/>
    </row>
    <row r="50" ht="15.75" customHeight="1">
      <c r="A50" s="1"/>
      <c r="B50" s="1"/>
      <c r="C50" s="1"/>
      <c r="D50" s="1"/>
      <c r="E50" s="1"/>
      <c r="F50" s="1"/>
      <c r="G50" s="1"/>
      <c r="H50" s="1"/>
      <c r="I50" s="2"/>
      <c r="J50" s="2"/>
      <c r="K50" s="3"/>
      <c r="L50" s="2"/>
      <c r="M50" s="1"/>
      <c r="N50" s="1"/>
      <c r="O50" s="1"/>
      <c r="P50" s="1"/>
      <c r="Q50" s="1"/>
      <c r="R50" s="1"/>
      <c r="S50" s="1"/>
      <c r="T50" s="1"/>
      <c r="U50" s="1"/>
      <c r="V50" s="1"/>
      <c r="W50" s="1"/>
      <c r="X50" s="1"/>
      <c r="Y50" s="1"/>
      <c r="Z50" s="1"/>
    </row>
    <row r="51" ht="15.75" customHeight="1">
      <c r="A51" s="1"/>
      <c r="B51" s="1"/>
      <c r="C51" s="1"/>
      <c r="D51" s="1"/>
      <c r="E51" s="1"/>
      <c r="F51" s="1"/>
      <c r="G51" s="1"/>
      <c r="H51" s="1"/>
      <c r="I51" s="2"/>
      <c r="J51" s="2"/>
      <c r="K51" s="3"/>
      <c r="L51" s="2"/>
      <c r="M51" s="1"/>
      <c r="N51" s="1"/>
      <c r="O51" s="1"/>
      <c r="P51" s="1"/>
      <c r="Q51" s="1"/>
      <c r="R51" s="1"/>
      <c r="S51" s="1"/>
      <c r="T51" s="1"/>
      <c r="U51" s="1"/>
      <c r="V51" s="1"/>
      <c r="W51" s="1"/>
      <c r="X51" s="1"/>
      <c r="Y51" s="1"/>
      <c r="Z51" s="1"/>
    </row>
    <row r="52" ht="15.75" customHeight="1">
      <c r="A52" s="1"/>
      <c r="B52" s="1"/>
      <c r="C52" s="1"/>
      <c r="D52" s="1"/>
      <c r="E52" s="1"/>
      <c r="F52" s="1"/>
      <c r="G52" s="1"/>
      <c r="H52" s="1"/>
      <c r="I52" s="2"/>
      <c r="J52" s="2"/>
      <c r="K52" s="3"/>
      <c r="L52" s="2"/>
      <c r="M52" s="1"/>
      <c r="N52" s="1"/>
      <c r="O52" s="1"/>
      <c r="P52" s="1"/>
      <c r="Q52" s="1"/>
      <c r="R52" s="1"/>
      <c r="S52" s="1"/>
      <c r="T52" s="1"/>
      <c r="U52" s="1"/>
      <c r="V52" s="1"/>
      <c r="W52" s="1"/>
      <c r="X52" s="1"/>
      <c r="Y52" s="1"/>
      <c r="Z52" s="1"/>
    </row>
    <row r="53" ht="15.75" customHeight="1">
      <c r="A53" s="1"/>
      <c r="B53" s="1"/>
      <c r="C53" s="1"/>
      <c r="D53" s="1"/>
      <c r="E53" s="1"/>
      <c r="F53" s="1"/>
      <c r="G53" s="1"/>
      <c r="H53" s="1"/>
      <c r="I53" s="2"/>
      <c r="J53" s="2"/>
      <c r="K53" s="3"/>
      <c r="L53" s="2"/>
      <c r="M53" s="1"/>
      <c r="N53" s="1"/>
      <c r="O53" s="1"/>
      <c r="P53" s="1"/>
      <c r="Q53" s="1"/>
      <c r="R53" s="1"/>
      <c r="S53" s="1"/>
      <c r="T53" s="1"/>
      <c r="U53" s="1"/>
      <c r="V53" s="1"/>
      <c r="W53" s="1"/>
      <c r="X53" s="1"/>
      <c r="Y53" s="1"/>
      <c r="Z53" s="1"/>
    </row>
    <row r="54" ht="15.75" customHeight="1">
      <c r="A54" s="1"/>
      <c r="B54" s="1"/>
      <c r="C54" s="1"/>
      <c r="D54" s="1"/>
      <c r="E54" s="1"/>
      <c r="F54" s="1"/>
      <c r="G54" s="1"/>
      <c r="H54" s="1"/>
      <c r="I54" s="2"/>
      <c r="J54" s="2"/>
      <c r="K54" s="3"/>
      <c r="L54" s="2"/>
      <c r="M54" s="1"/>
      <c r="N54" s="1"/>
      <c r="O54" s="1"/>
      <c r="P54" s="1"/>
      <c r="Q54" s="1"/>
      <c r="R54" s="1"/>
      <c r="S54" s="1"/>
      <c r="T54" s="1"/>
      <c r="U54" s="1"/>
      <c r="V54" s="1"/>
      <c r="W54" s="1"/>
      <c r="X54" s="1"/>
      <c r="Y54" s="1"/>
      <c r="Z54" s="1"/>
    </row>
    <row r="55" ht="15.75" customHeight="1">
      <c r="A55" s="1"/>
      <c r="B55" s="1"/>
      <c r="C55" s="1"/>
      <c r="D55" s="1"/>
      <c r="E55" s="1"/>
      <c r="F55" s="1"/>
      <c r="G55" s="1"/>
      <c r="H55" s="1"/>
      <c r="I55" s="2"/>
      <c r="J55" s="2"/>
      <c r="K55" s="3"/>
      <c r="L55" s="2"/>
      <c r="M55" s="1"/>
      <c r="N55" s="1"/>
      <c r="O55" s="1"/>
      <c r="P55" s="1"/>
      <c r="Q55" s="1"/>
      <c r="R55" s="1"/>
      <c r="S55" s="1"/>
      <c r="T55" s="1"/>
      <c r="U55" s="1"/>
      <c r="V55" s="1"/>
      <c r="W55" s="1"/>
      <c r="X55" s="1"/>
      <c r="Y55" s="1"/>
      <c r="Z55" s="1"/>
    </row>
    <row r="56" ht="15.75" customHeight="1">
      <c r="A56" s="1"/>
      <c r="B56" s="1"/>
      <c r="C56" s="1"/>
      <c r="D56" s="1"/>
      <c r="E56" s="1"/>
      <c r="F56" s="1"/>
      <c r="G56" s="1"/>
      <c r="H56" s="1"/>
      <c r="I56" s="2"/>
      <c r="J56" s="2"/>
      <c r="K56" s="3"/>
      <c r="L56" s="2"/>
      <c r="M56" s="1"/>
      <c r="N56" s="1"/>
      <c r="O56" s="1"/>
      <c r="P56" s="1"/>
      <c r="Q56" s="1"/>
      <c r="R56" s="1"/>
      <c r="S56" s="1"/>
      <c r="T56" s="1"/>
      <c r="U56" s="1"/>
      <c r="V56" s="1"/>
      <c r="W56" s="1"/>
      <c r="X56" s="1"/>
      <c r="Y56" s="1"/>
      <c r="Z56" s="1"/>
    </row>
    <row r="57" ht="15.75" customHeight="1">
      <c r="A57" s="1"/>
      <c r="B57" s="1"/>
      <c r="C57" s="1"/>
      <c r="D57" s="1"/>
      <c r="E57" s="1"/>
      <c r="F57" s="1"/>
      <c r="G57" s="1"/>
      <c r="H57" s="1"/>
      <c r="I57" s="2"/>
      <c r="J57" s="2"/>
      <c r="K57" s="3"/>
      <c r="L57" s="2"/>
      <c r="M57" s="1"/>
      <c r="N57" s="1"/>
      <c r="O57" s="1"/>
      <c r="P57" s="1"/>
      <c r="Q57" s="1"/>
      <c r="R57" s="1"/>
      <c r="S57" s="1"/>
      <c r="T57" s="1"/>
      <c r="U57" s="1"/>
      <c r="V57" s="1"/>
      <c r="W57" s="1"/>
      <c r="X57" s="1"/>
      <c r="Y57" s="1"/>
      <c r="Z57" s="1"/>
    </row>
    <row r="58" ht="15.75" customHeight="1">
      <c r="A58" s="1"/>
      <c r="B58" s="1"/>
      <c r="C58" s="1"/>
      <c r="D58" s="1"/>
      <c r="E58" s="1"/>
      <c r="F58" s="1"/>
      <c r="G58" s="1"/>
      <c r="H58" s="1"/>
      <c r="I58" s="2"/>
      <c r="J58" s="2"/>
      <c r="K58" s="3"/>
      <c r="L58" s="2"/>
      <c r="M58" s="1"/>
      <c r="N58" s="1"/>
      <c r="O58" s="1"/>
      <c r="P58" s="1"/>
      <c r="Q58" s="1"/>
      <c r="R58" s="1"/>
      <c r="S58" s="1"/>
      <c r="T58" s="1"/>
      <c r="U58" s="1"/>
      <c r="V58" s="1"/>
      <c r="W58" s="1"/>
      <c r="X58" s="1"/>
      <c r="Y58" s="1"/>
      <c r="Z58" s="1"/>
    </row>
    <row r="59" ht="15.75" customHeight="1">
      <c r="A59" s="1"/>
      <c r="B59" s="1"/>
      <c r="C59" s="1"/>
      <c r="D59" s="1"/>
      <c r="E59" s="1"/>
      <c r="F59" s="1"/>
      <c r="G59" s="1"/>
      <c r="H59" s="1"/>
      <c r="I59" s="2"/>
      <c r="J59" s="2"/>
      <c r="K59" s="3"/>
      <c r="L59" s="2"/>
      <c r="M59" s="1"/>
      <c r="N59" s="1"/>
      <c r="O59" s="1"/>
      <c r="P59" s="1"/>
      <c r="Q59" s="1"/>
      <c r="R59" s="1"/>
      <c r="S59" s="1"/>
      <c r="T59" s="1"/>
      <c r="U59" s="1"/>
      <c r="V59" s="1"/>
      <c r="W59" s="1"/>
      <c r="X59" s="1"/>
      <c r="Y59" s="1"/>
      <c r="Z59" s="1"/>
    </row>
    <row r="60" ht="15.75" customHeight="1">
      <c r="A60" s="1"/>
      <c r="B60" s="1"/>
      <c r="C60" s="1"/>
      <c r="D60" s="1"/>
      <c r="E60" s="1"/>
      <c r="F60" s="1"/>
      <c r="G60" s="1"/>
      <c r="H60" s="1"/>
      <c r="I60" s="2"/>
      <c r="J60" s="2"/>
      <c r="K60" s="3"/>
      <c r="L60" s="2"/>
      <c r="M60" s="1"/>
      <c r="N60" s="1"/>
      <c r="O60" s="1"/>
      <c r="P60" s="1"/>
      <c r="Q60" s="1"/>
      <c r="R60" s="1"/>
      <c r="S60" s="1"/>
      <c r="T60" s="1"/>
      <c r="U60" s="1"/>
      <c r="V60" s="1"/>
      <c r="W60" s="1"/>
      <c r="X60" s="1"/>
      <c r="Y60" s="1"/>
      <c r="Z60" s="1"/>
    </row>
    <row r="61" ht="15.75" customHeight="1">
      <c r="A61" s="1"/>
      <c r="B61" s="1"/>
      <c r="C61" s="1"/>
      <c r="D61" s="1"/>
      <c r="E61" s="1"/>
      <c r="F61" s="1"/>
      <c r="G61" s="1"/>
      <c r="H61" s="1"/>
      <c r="I61" s="2"/>
      <c r="J61" s="2"/>
      <c r="K61" s="3"/>
      <c r="L61" s="2"/>
      <c r="M61" s="1"/>
      <c r="N61" s="1"/>
      <c r="O61" s="1"/>
      <c r="P61" s="1"/>
      <c r="Q61" s="1"/>
      <c r="R61" s="1"/>
      <c r="S61" s="1"/>
      <c r="T61" s="1"/>
      <c r="U61" s="1"/>
      <c r="V61" s="1"/>
      <c r="W61" s="1"/>
      <c r="X61" s="1"/>
      <c r="Y61" s="1"/>
      <c r="Z61" s="1"/>
    </row>
    <row r="62" ht="15.75" customHeight="1">
      <c r="A62" s="1"/>
      <c r="B62" s="1"/>
      <c r="C62" s="1"/>
      <c r="D62" s="1"/>
      <c r="E62" s="1"/>
      <c r="F62" s="1"/>
      <c r="G62" s="1"/>
      <c r="H62" s="1"/>
      <c r="I62" s="2"/>
      <c r="J62" s="2"/>
      <c r="K62" s="3"/>
      <c r="L62" s="2"/>
      <c r="M62" s="1"/>
      <c r="N62" s="1"/>
      <c r="O62" s="1"/>
      <c r="P62" s="1"/>
      <c r="Q62" s="1"/>
      <c r="R62" s="1"/>
      <c r="S62" s="1"/>
      <c r="T62" s="1"/>
      <c r="U62" s="1"/>
      <c r="V62" s="1"/>
      <c r="W62" s="1"/>
      <c r="X62" s="1"/>
      <c r="Y62" s="1"/>
      <c r="Z62" s="1"/>
    </row>
    <row r="63" ht="15.75" customHeight="1">
      <c r="A63" s="1"/>
      <c r="B63" s="1"/>
      <c r="C63" s="1"/>
      <c r="D63" s="1"/>
      <c r="E63" s="1"/>
      <c r="F63" s="1"/>
      <c r="G63" s="1"/>
      <c r="H63" s="1"/>
      <c r="I63" s="2"/>
      <c r="J63" s="2"/>
      <c r="K63" s="3"/>
      <c r="L63" s="2"/>
      <c r="M63" s="1"/>
      <c r="N63" s="1"/>
      <c r="O63" s="1"/>
      <c r="P63" s="1"/>
      <c r="Q63" s="1"/>
      <c r="R63" s="1"/>
      <c r="S63" s="1"/>
      <c r="T63" s="1"/>
      <c r="U63" s="1"/>
      <c r="V63" s="1"/>
      <c r="W63" s="1"/>
      <c r="X63" s="1"/>
      <c r="Y63" s="1"/>
      <c r="Z63" s="1"/>
    </row>
    <row r="64" ht="15.75" customHeight="1">
      <c r="A64" s="1"/>
      <c r="B64" s="1"/>
      <c r="C64" s="1"/>
      <c r="D64" s="1"/>
      <c r="E64" s="1"/>
      <c r="F64" s="1"/>
      <c r="G64" s="1"/>
      <c r="H64" s="1"/>
      <c r="I64" s="2"/>
      <c r="J64" s="2"/>
      <c r="K64" s="3"/>
      <c r="L64" s="2"/>
      <c r="M64" s="1"/>
      <c r="N64" s="1"/>
      <c r="O64" s="1"/>
      <c r="P64" s="1"/>
      <c r="Q64" s="1"/>
      <c r="R64" s="1"/>
      <c r="S64" s="1"/>
      <c r="T64" s="1"/>
      <c r="U64" s="1"/>
      <c r="V64" s="1"/>
      <c r="W64" s="1"/>
      <c r="X64" s="1"/>
      <c r="Y64" s="1"/>
      <c r="Z64" s="1"/>
    </row>
    <row r="65" ht="15.75" customHeight="1">
      <c r="A65" s="1"/>
      <c r="B65" s="1"/>
      <c r="C65" s="1"/>
      <c r="D65" s="1"/>
      <c r="E65" s="1"/>
      <c r="F65" s="1"/>
      <c r="G65" s="1"/>
      <c r="H65" s="1"/>
      <c r="I65" s="2"/>
      <c r="J65" s="2"/>
      <c r="K65" s="3"/>
      <c r="L65" s="2"/>
      <c r="M65" s="1"/>
      <c r="N65" s="1"/>
      <c r="O65" s="1"/>
      <c r="P65" s="1"/>
      <c r="Q65" s="1"/>
      <c r="R65" s="1"/>
      <c r="S65" s="1"/>
      <c r="T65" s="1"/>
      <c r="U65" s="1"/>
      <c r="V65" s="1"/>
      <c r="W65" s="1"/>
      <c r="X65" s="1"/>
      <c r="Y65" s="1"/>
      <c r="Z65" s="1"/>
    </row>
    <row r="66" ht="15.75" customHeight="1">
      <c r="A66" s="1"/>
      <c r="B66" s="1"/>
      <c r="C66" s="1"/>
      <c r="D66" s="1"/>
      <c r="E66" s="1"/>
      <c r="F66" s="1"/>
      <c r="G66" s="1"/>
      <c r="H66" s="1"/>
      <c r="I66" s="2"/>
      <c r="J66" s="2"/>
      <c r="K66" s="3"/>
      <c r="L66" s="2"/>
      <c r="M66" s="1"/>
      <c r="N66" s="1"/>
      <c r="O66" s="1"/>
      <c r="P66" s="1"/>
      <c r="Q66" s="1"/>
      <c r="R66" s="1"/>
      <c r="S66" s="1"/>
      <c r="T66" s="1"/>
      <c r="U66" s="1"/>
      <c r="V66" s="1"/>
      <c r="W66" s="1"/>
      <c r="X66" s="1"/>
      <c r="Y66" s="1"/>
      <c r="Z66" s="1"/>
    </row>
    <row r="67" ht="15.75" customHeight="1">
      <c r="A67" s="1"/>
      <c r="B67" s="1"/>
      <c r="C67" s="1"/>
      <c r="D67" s="1"/>
      <c r="E67" s="1"/>
      <c r="F67" s="1"/>
      <c r="G67" s="1"/>
      <c r="H67" s="1"/>
      <c r="I67" s="2"/>
      <c r="J67" s="2"/>
      <c r="K67" s="3"/>
      <c r="L67" s="2"/>
      <c r="M67" s="1"/>
      <c r="N67" s="1"/>
      <c r="O67" s="1"/>
      <c r="P67" s="1"/>
      <c r="Q67" s="1"/>
      <c r="R67" s="1"/>
      <c r="S67" s="1"/>
      <c r="T67" s="1"/>
      <c r="U67" s="1"/>
      <c r="V67" s="1"/>
      <c r="W67" s="1"/>
      <c r="X67" s="1"/>
      <c r="Y67" s="1"/>
      <c r="Z67" s="1"/>
    </row>
    <row r="68" ht="15.75" customHeight="1">
      <c r="A68" s="1"/>
      <c r="B68" s="1"/>
      <c r="C68" s="1"/>
      <c r="D68" s="1"/>
      <c r="E68" s="1"/>
      <c r="F68" s="1"/>
      <c r="G68" s="1"/>
      <c r="H68" s="1"/>
      <c r="I68" s="2"/>
      <c r="J68" s="2"/>
      <c r="K68" s="3"/>
      <c r="L68" s="2"/>
      <c r="M68" s="1"/>
      <c r="N68" s="1"/>
      <c r="O68" s="1"/>
      <c r="P68" s="1"/>
      <c r="Q68" s="1"/>
      <c r="R68" s="1"/>
      <c r="S68" s="1"/>
      <c r="T68" s="1"/>
      <c r="U68" s="1"/>
      <c r="V68" s="1"/>
      <c r="W68" s="1"/>
      <c r="X68" s="1"/>
      <c r="Y68" s="1"/>
      <c r="Z68" s="1"/>
    </row>
    <row r="69" ht="15.75" customHeight="1">
      <c r="A69" s="1"/>
      <c r="B69" s="1"/>
      <c r="C69" s="1"/>
      <c r="D69" s="1"/>
      <c r="E69" s="1"/>
      <c r="F69" s="1"/>
      <c r="G69" s="1"/>
      <c r="H69" s="1"/>
      <c r="I69" s="2"/>
      <c r="J69" s="2"/>
      <c r="K69" s="3"/>
      <c r="L69" s="2"/>
      <c r="M69" s="1"/>
      <c r="N69" s="1"/>
      <c r="O69" s="1"/>
      <c r="P69" s="1"/>
      <c r="Q69" s="1"/>
      <c r="R69" s="1"/>
      <c r="S69" s="1"/>
      <c r="T69" s="1"/>
      <c r="U69" s="1"/>
      <c r="V69" s="1"/>
      <c r="W69" s="1"/>
      <c r="X69" s="1"/>
      <c r="Y69" s="1"/>
      <c r="Z69" s="1"/>
    </row>
    <row r="70" ht="15.75" customHeight="1">
      <c r="A70" s="1"/>
      <c r="B70" s="1"/>
      <c r="C70" s="1"/>
      <c r="D70" s="1"/>
      <c r="E70" s="1"/>
      <c r="F70" s="1"/>
      <c r="G70" s="1"/>
      <c r="H70" s="1"/>
      <c r="I70" s="2"/>
      <c r="J70" s="2"/>
      <c r="K70" s="3"/>
      <c r="L70" s="2"/>
      <c r="M70" s="1"/>
      <c r="N70" s="1"/>
      <c r="O70" s="1"/>
      <c r="P70" s="1"/>
      <c r="Q70" s="1"/>
      <c r="R70" s="1"/>
      <c r="S70" s="1"/>
      <c r="T70" s="1"/>
      <c r="U70" s="1"/>
      <c r="V70" s="1"/>
      <c r="W70" s="1"/>
      <c r="X70" s="1"/>
      <c r="Y70" s="1"/>
      <c r="Z70" s="1"/>
    </row>
    <row r="71" ht="15.75" customHeight="1">
      <c r="A71" s="1"/>
      <c r="B71" s="1"/>
      <c r="C71" s="1"/>
      <c r="D71" s="1"/>
      <c r="E71" s="1"/>
      <c r="F71" s="1"/>
      <c r="G71" s="1"/>
      <c r="H71" s="1"/>
      <c r="I71" s="2"/>
      <c r="J71" s="2"/>
      <c r="K71" s="3"/>
      <c r="L71" s="2"/>
      <c r="M71" s="1"/>
      <c r="N71" s="1"/>
      <c r="O71" s="1"/>
      <c r="P71" s="1"/>
      <c r="Q71" s="1"/>
      <c r="R71" s="1"/>
      <c r="S71" s="1"/>
      <c r="T71" s="1"/>
      <c r="U71" s="1"/>
      <c r="V71" s="1"/>
      <c r="W71" s="1"/>
      <c r="X71" s="1"/>
      <c r="Y71" s="1"/>
      <c r="Z71" s="1"/>
    </row>
    <row r="72" ht="15.75" customHeight="1">
      <c r="A72" s="1"/>
      <c r="B72" s="1"/>
      <c r="C72" s="1"/>
      <c r="D72" s="1"/>
      <c r="E72" s="1"/>
      <c r="F72" s="1"/>
      <c r="G72" s="1"/>
      <c r="H72" s="1"/>
      <c r="I72" s="2"/>
      <c r="J72" s="2"/>
      <c r="K72" s="3"/>
      <c r="L72" s="2"/>
      <c r="M72" s="1"/>
      <c r="N72" s="1"/>
      <c r="O72" s="1"/>
      <c r="P72" s="1"/>
      <c r="Q72" s="1"/>
      <c r="R72" s="1"/>
      <c r="S72" s="1"/>
      <c r="T72" s="1"/>
      <c r="U72" s="1"/>
      <c r="V72" s="1"/>
      <c r="W72" s="1"/>
      <c r="X72" s="1"/>
      <c r="Y72" s="1"/>
      <c r="Z72" s="1"/>
    </row>
    <row r="73" ht="15.75" customHeight="1">
      <c r="A73" s="1"/>
      <c r="B73" s="1"/>
      <c r="C73" s="1"/>
      <c r="D73" s="1"/>
      <c r="E73" s="1"/>
      <c r="F73" s="1"/>
      <c r="G73" s="1"/>
      <c r="H73" s="1"/>
      <c r="I73" s="2"/>
      <c r="J73" s="2"/>
      <c r="K73" s="3"/>
      <c r="L73" s="2"/>
      <c r="M73" s="1"/>
      <c r="N73" s="1"/>
      <c r="O73" s="1"/>
      <c r="P73" s="1"/>
      <c r="Q73" s="1"/>
      <c r="R73" s="1"/>
      <c r="S73" s="1"/>
      <c r="T73" s="1"/>
      <c r="U73" s="1"/>
      <c r="V73" s="1"/>
      <c r="W73" s="1"/>
      <c r="X73" s="1"/>
      <c r="Y73" s="1"/>
      <c r="Z73" s="1"/>
    </row>
    <row r="74" ht="15.75" customHeight="1">
      <c r="A74" s="1"/>
      <c r="B74" s="1"/>
      <c r="C74" s="1"/>
      <c r="D74" s="1"/>
      <c r="E74" s="1"/>
      <c r="F74" s="1"/>
      <c r="G74" s="1"/>
      <c r="H74" s="1"/>
      <c r="I74" s="2"/>
      <c r="J74" s="2"/>
      <c r="K74" s="3"/>
      <c r="L74" s="2"/>
      <c r="M74" s="1"/>
      <c r="N74" s="1"/>
      <c r="O74" s="1"/>
      <c r="P74" s="1"/>
      <c r="Q74" s="1"/>
      <c r="R74" s="1"/>
      <c r="S74" s="1"/>
      <c r="T74" s="1"/>
      <c r="U74" s="1"/>
      <c r="V74" s="1"/>
      <c r="W74" s="1"/>
      <c r="X74" s="1"/>
      <c r="Y74" s="1"/>
      <c r="Z74" s="1"/>
    </row>
    <row r="75" ht="15.75" customHeight="1">
      <c r="A75" s="1"/>
      <c r="B75" s="1"/>
      <c r="C75" s="1"/>
      <c r="D75" s="1"/>
      <c r="E75" s="1"/>
      <c r="F75" s="1"/>
      <c r="G75" s="1"/>
      <c r="H75" s="1"/>
      <c r="I75" s="2"/>
      <c r="J75" s="2"/>
      <c r="K75" s="3"/>
      <c r="L75" s="2"/>
      <c r="M75" s="1"/>
      <c r="N75" s="1"/>
      <c r="O75" s="1"/>
      <c r="P75" s="1"/>
      <c r="Q75" s="1"/>
      <c r="R75" s="1"/>
      <c r="S75" s="1"/>
      <c r="T75" s="1"/>
      <c r="U75" s="1"/>
      <c r="V75" s="1"/>
      <c r="W75" s="1"/>
      <c r="X75" s="1"/>
      <c r="Y75" s="1"/>
      <c r="Z75" s="1"/>
    </row>
    <row r="76" ht="15.75" customHeight="1">
      <c r="A76" s="1"/>
      <c r="B76" s="1"/>
      <c r="C76" s="1"/>
      <c r="D76" s="1"/>
      <c r="E76" s="1"/>
      <c r="F76" s="1"/>
      <c r="G76" s="1"/>
      <c r="H76" s="1"/>
      <c r="I76" s="2"/>
      <c r="J76" s="2"/>
      <c r="K76" s="3"/>
      <c r="L76" s="2"/>
      <c r="M76" s="1"/>
      <c r="N76" s="1"/>
      <c r="O76" s="1"/>
      <c r="P76" s="1"/>
      <c r="Q76" s="1"/>
      <c r="R76" s="1"/>
      <c r="S76" s="1"/>
      <c r="T76" s="1"/>
      <c r="U76" s="1"/>
      <c r="V76" s="1"/>
      <c r="W76" s="1"/>
      <c r="X76" s="1"/>
      <c r="Y76" s="1"/>
      <c r="Z76" s="1"/>
    </row>
    <row r="77" ht="15.75" customHeight="1">
      <c r="A77" s="1"/>
      <c r="B77" s="1"/>
      <c r="C77" s="1"/>
      <c r="D77" s="1"/>
      <c r="E77" s="1"/>
      <c r="F77" s="1"/>
      <c r="G77" s="1"/>
      <c r="H77" s="1"/>
      <c r="I77" s="2"/>
      <c r="J77" s="2"/>
      <c r="K77" s="3"/>
      <c r="L77" s="2"/>
      <c r="M77" s="1"/>
      <c r="N77" s="1"/>
      <c r="O77" s="1"/>
      <c r="P77" s="1"/>
      <c r="Q77" s="1"/>
      <c r="R77" s="1"/>
      <c r="S77" s="1"/>
      <c r="T77" s="1"/>
      <c r="U77" s="1"/>
      <c r="V77" s="1"/>
      <c r="W77" s="1"/>
      <c r="X77" s="1"/>
      <c r="Y77" s="1"/>
      <c r="Z77" s="1"/>
    </row>
    <row r="78" ht="15.75" customHeight="1">
      <c r="A78" s="1"/>
      <c r="B78" s="1"/>
      <c r="C78" s="1"/>
      <c r="D78" s="1"/>
      <c r="E78" s="1"/>
      <c r="F78" s="1"/>
      <c r="G78" s="1"/>
      <c r="H78" s="1"/>
      <c r="I78" s="2"/>
      <c r="J78" s="2"/>
      <c r="K78" s="3"/>
      <c r="L78" s="2"/>
      <c r="M78" s="1"/>
      <c r="N78" s="1"/>
      <c r="O78" s="1"/>
      <c r="P78" s="1"/>
      <c r="Q78" s="1"/>
      <c r="R78" s="1"/>
      <c r="S78" s="1"/>
      <c r="T78" s="1"/>
      <c r="U78" s="1"/>
      <c r="V78" s="1"/>
      <c r="W78" s="1"/>
      <c r="X78" s="1"/>
      <c r="Y78" s="1"/>
      <c r="Z78" s="1"/>
    </row>
    <row r="79" ht="15.75" customHeight="1">
      <c r="A79" s="1"/>
      <c r="B79" s="1"/>
      <c r="C79" s="1"/>
      <c r="D79" s="1"/>
      <c r="E79" s="1"/>
      <c r="F79" s="1"/>
      <c r="G79" s="1"/>
      <c r="H79" s="1"/>
      <c r="I79" s="2"/>
      <c r="J79" s="2"/>
      <c r="K79" s="3"/>
      <c r="L79" s="2"/>
      <c r="M79" s="1"/>
      <c r="N79" s="1"/>
      <c r="O79" s="1"/>
      <c r="P79" s="1"/>
      <c r="Q79" s="1"/>
      <c r="R79" s="1"/>
      <c r="S79" s="1"/>
      <c r="T79" s="1"/>
      <c r="U79" s="1"/>
      <c r="V79" s="1"/>
      <c r="W79" s="1"/>
      <c r="X79" s="1"/>
      <c r="Y79" s="1"/>
      <c r="Z79" s="1"/>
    </row>
    <row r="80" ht="15.75" customHeight="1">
      <c r="A80" s="1"/>
      <c r="B80" s="1"/>
      <c r="C80" s="1"/>
      <c r="D80" s="1"/>
      <c r="E80" s="1"/>
      <c r="F80" s="1"/>
      <c r="G80" s="1"/>
      <c r="H80" s="1"/>
      <c r="I80" s="2"/>
      <c r="J80" s="2"/>
      <c r="K80" s="3"/>
      <c r="L80" s="2"/>
      <c r="M80" s="1"/>
      <c r="N80" s="1"/>
      <c r="O80" s="1"/>
      <c r="P80" s="1"/>
      <c r="Q80" s="1"/>
      <c r="R80" s="1"/>
      <c r="S80" s="1"/>
      <c r="T80" s="1"/>
      <c r="U80" s="1"/>
      <c r="V80" s="1"/>
      <c r="W80" s="1"/>
      <c r="X80" s="1"/>
      <c r="Y80" s="1"/>
      <c r="Z80" s="1"/>
    </row>
    <row r="81" ht="15.75" customHeight="1">
      <c r="A81" s="1"/>
      <c r="B81" s="1"/>
      <c r="C81" s="1"/>
      <c r="D81" s="1"/>
      <c r="E81" s="1"/>
      <c r="F81" s="1"/>
      <c r="G81" s="1"/>
      <c r="H81" s="1"/>
      <c r="I81" s="2"/>
      <c r="J81" s="2"/>
      <c r="K81" s="3"/>
      <c r="L81" s="2"/>
      <c r="M81" s="1"/>
      <c r="N81" s="1"/>
      <c r="O81" s="1"/>
      <c r="P81" s="1"/>
      <c r="Q81" s="1"/>
      <c r="R81" s="1"/>
      <c r="S81" s="1"/>
      <c r="T81" s="1"/>
      <c r="U81" s="1"/>
      <c r="V81" s="1"/>
      <c r="W81" s="1"/>
      <c r="X81" s="1"/>
      <c r="Y81" s="1"/>
      <c r="Z81" s="1"/>
    </row>
    <row r="82" ht="15.75" customHeight="1">
      <c r="A82" s="1"/>
      <c r="B82" s="1"/>
      <c r="C82" s="1"/>
      <c r="D82" s="1"/>
      <c r="E82" s="1"/>
      <c r="F82" s="1"/>
      <c r="G82" s="1"/>
      <c r="H82" s="1"/>
      <c r="I82" s="2"/>
      <c r="J82" s="2"/>
      <c r="K82" s="3"/>
      <c r="L82" s="2"/>
      <c r="M82" s="1"/>
      <c r="N82" s="1"/>
      <c r="O82" s="1"/>
      <c r="P82" s="1"/>
      <c r="Q82" s="1"/>
      <c r="R82" s="1"/>
      <c r="S82" s="1"/>
      <c r="T82" s="1"/>
      <c r="U82" s="1"/>
      <c r="V82" s="1"/>
      <c r="W82" s="1"/>
      <c r="X82" s="1"/>
      <c r="Y82" s="1"/>
      <c r="Z82" s="1"/>
    </row>
    <row r="83" ht="15.75" customHeight="1">
      <c r="A83" s="1"/>
      <c r="B83" s="1"/>
      <c r="C83" s="1"/>
      <c r="D83" s="1"/>
      <c r="E83" s="1"/>
      <c r="F83" s="1"/>
      <c r="G83" s="1"/>
      <c r="H83" s="1"/>
      <c r="I83" s="2"/>
      <c r="J83" s="2"/>
      <c r="K83" s="3"/>
      <c r="L83" s="2"/>
      <c r="M83" s="1"/>
      <c r="N83" s="1"/>
      <c r="O83" s="1"/>
      <c r="P83" s="1"/>
      <c r="Q83" s="1"/>
      <c r="R83" s="1"/>
      <c r="S83" s="1"/>
      <c r="T83" s="1"/>
      <c r="U83" s="1"/>
      <c r="V83" s="1"/>
      <c r="W83" s="1"/>
      <c r="X83" s="1"/>
      <c r="Y83" s="1"/>
      <c r="Z83" s="1"/>
    </row>
    <row r="84" ht="15.75" customHeight="1">
      <c r="A84" s="1"/>
      <c r="B84" s="1"/>
      <c r="C84" s="1"/>
      <c r="D84" s="1"/>
      <c r="E84" s="1"/>
      <c r="F84" s="1"/>
      <c r="G84" s="1"/>
      <c r="H84" s="1"/>
      <c r="I84" s="2"/>
      <c r="J84" s="2"/>
      <c r="K84" s="3"/>
      <c r="L84" s="2"/>
      <c r="M84" s="1"/>
      <c r="N84" s="1"/>
      <c r="O84" s="1"/>
      <c r="P84" s="1"/>
      <c r="Q84" s="1"/>
      <c r="R84" s="1"/>
      <c r="S84" s="1"/>
      <c r="T84" s="1"/>
      <c r="U84" s="1"/>
      <c r="V84" s="1"/>
      <c r="W84" s="1"/>
      <c r="X84" s="1"/>
      <c r="Y84" s="1"/>
      <c r="Z84" s="1"/>
    </row>
    <row r="85" ht="15.75" customHeight="1">
      <c r="A85" s="1"/>
      <c r="B85" s="1"/>
      <c r="C85" s="1"/>
      <c r="D85" s="1"/>
      <c r="E85" s="1"/>
      <c r="F85" s="1"/>
      <c r="G85" s="1"/>
      <c r="H85" s="1"/>
      <c r="I85" s="2"/>
      <c r="J85" s="2"/>
      <c r="K85" s="3"/>
      <c r="L85" s="2"/>
      <c r="M85" s="1"/>
      <c r="N85" s="1"/>
      <c r="O85" s="1"/>
      <c r="P85" s="1"/>
      <c r="Q85" s="1"/>
      <c r="R85" s="1"/>
      <c r="S85" s="1"/>
      <c r="T85" s="1"/>
      <c r="U85" s="1"/>
      <c r="V85" s="1"/>
      <c r="W85" s="1"/>
      <c r="X85" s="1"/>
      <c r="Y85" s="1"/>
      <c r="Z85" s="1"/>
    </row>
    <row r="86" ht="15.75" customHeight="1">
      <c r="A86" s="1"/>
      <c r="B86" s="1"/>
      <c r="C86" s="1"/>
      <c r="D86" s="1"/>
      <c r="E86" s="1"/>
      <c r="F86" s="1"/>
      <c r="G86" s="1"/>
      <c r="H86" s="1"/>
      <c r="I86" s="2"/>
      <c r="J86" s="2"/>
      <c r="K86" s="3"/>
      <c r="L86" s="2"/>
      <c r="M86" s="1"/>
      <c r="N86" s="1"/>
      <c r="O86" s="1"/>
      <c r="P86" s="1"/>
      <c r="Q86" s="1"/>
      <c r="R86" s="1"/>
      <c r="S86" s="1"/>
      <c r="T86" s="1"/>
      <c r="U86" s="1"/>
      <c r="V86" s="1"/>
      <c r="W86" s="1"/>
      <c r="X86" s="1"/>
      <c r="Y86" s="1"/>
      <c r="Z86" s="1"/>
    </row>
    <row r="87" ht="15.75" customHeight="1">
      <c r="A87" s="1"/>
      <c r="B87" s="1"/>
      <c r="C87" s="1"/>
      <c r="D87" s="1"/>
      <c r="E87" s="1"/>
      <c r="F87" s="1"/>
      <c r="G87" s="1"/>
      <c r="H87" s="1"/>
      <c r="I87" s="2"/>
      <c r="J87" s="2"/>
      <c r="K87" s="3"/>
      <c r="L87" s="2"/>
      <c r="M87" s="1"/>
      <c r="N87" s="1"/>
      <c r="O87" s="1"/>
      <c r="P87" s="1"/>
      <c r="Q87" s="1"/>
      <c r="R87" s="1"/>
      <c r="S87" s="1"/>
      <c r="T87" s="1"/>
      <c r="U87" s="1"/>
      <c r="V87" s="1"/>
      <c r="W87" s="1"/>
      <c r="X87" s="1"/>
      <c r="Y87" s="1"/>
      <c r="Z87" s="1"/>
    </row>
    <row r="88" ht="15.75" customHeight="1">
      <c r="A88" s="1"/>
      <c r="B88" s="1"/>
      <c r="C88" s="1"/>
      <c r="D88" s="1"/>
      <c r="E88" s="1"/>
      <c r="F88" s="1"/>
      <c r="G88" s="1"/>
      <c r="H88" s="1"/>
      <c r="I88" s="2"/>
      <c r="J88" s="2"/>
      <c r="K88" s="3"/>
      <c r="L88" s="2"/>
      <c r="M88" s="1"/>
      <c r="N88" s="1"/>
      <c r="O88" s="1"/>
      <c r="P88" s="1"/>
      <c r="Q88" s="1"/>
      <c r="R88" s="1"/>
      <c r="S88" s="1"/>
      <c r="T88" s="1"/>
      <c r="U88" s="1"/>
      <c r="V88" s="1"/>
      <c r="W88" s="1"/>
      <c r="X88" s="1"/>
      <c r="Y88" s="1"/>
      <c r="Z88" s="1"/>
    </row>
    <row r="89" ht="15.75" customHeight="1">
      <c r="A89" s="1"/>
      <c r="B89" s="1"/>
      <c r="C89" s="1"/>
      <c r="D89" s="1"/>
      <c r="E89" s="1"/>
      <c r="F89" s="1"/>
      <c r="G89" s="1"/>
      <c r="H89" s="1"/>
      <c r="I89" s="2"/>
      <c r="J89" s="2"/>
      <c r="K89" s="3"/>
      <c r="L89" s="2"/>
      <c r="M89" s="1"/>
      <c r="N89" s="1"/>
      <c r="O89" s="1"/>
      <c r="P89" s="1"/>
      <c r="Q89" s="1"/>
      <c r="R89" s="1"/>
      <c r="S89" s="1"/>
      <c r="T89" s="1"/>
      <c r="U89" s="1"/>
      <c r="V89" s="1"/>
      <c r="W89" s="1"/>
      <c r="X89" s="1"/>
      <c r="Y89" s="1"/>
      <c r="Z89" s="1"/>
    </row>
    <row r="90" ht="15.75" customHeight="1">
      <c r="A90" s="1"/>
      <c r="B90" s="1"/>
      <c r="C90" s="1"/>
      <c r="D90" s="1"/>
      <c r="E90" s="1"/>
      <c r="F90" s="1"/>
      <c r="G90" s="1"/>
      <c r="H90" s="1"/>
      <c r="I90" s="2"/>
      <c r="J90" s="2"/>
      <c r="K90" s="3"/>
      <c r="L90" s="2"/>
      <c r="M90" s="1"/>
      <c r="N90" s="1"/>
      <c r="O90" s="1"/>
      <c r="P90" s="1"/>
      <c r="Q90" s="1"/>
      <c r="R90" s="1"/>
      <c r="S90" s="1"/>
      <c r="T90" s="1"/>
      <c r="U90" s="1"/>
      <c r="V90" s="1"/>
      <c r="W90" s="1"/>
      <c r="X90" s="1"/>
      <c r="Y90" s="1"/>
      <c r="Z90" s="1"/>
    </row>
    <row r="91" ht="15.75" customHeight="1">
      <c r="A91" s="1"/>
      <c r="B91" s="1"/>
      <c r="C91" s="1"/>
      <c r="D91" s="1"/>
      <c r="E91" s="1"/>
      <c r="F91" s="1"/>
      <c r="G91" s="1"/>
      <c r="H91" s="1"/>
      <c r="I91" s="2"/>
      <c r="J91" s="2"/>
      <c r="K91" s="3"/>
      <c r="L91" s="2"/>
      <c r="M91" s="1"/>
      <c r="N91" s="1"/>
      <c r="O91" s="1"/>
      <c r="P91" s="1"/>
      <c r="Q91" s="1"/>
      <c r="R91" s="1"/>
      <c r="S91" s="1"/>
      <c r="T91" s="1"/>
      <c r="U91" s="1"/>
      <c r="V91" s="1"/>
      <c r="W91" s="1"/>
      <c r="X91" s="1"/>
      <c r="Y91" s="1"/>
      <c r="Z91" s="1"/>
    </row>
    <row r="92" ht="15.75" customHeight="1">
      <c r="A92" s="1"/>
      <c r="B92" s="1"/>
      <c r="C92" s="1"/>
      <c r="D92" s="1"/>
      <c r="E92" s="1"/>
      <c r="F92" s="1"/>
      <c r="G92" s="1"/>
      <c r="H92" s="1"/>
      <c r="I92" s="2"/>
      <c r="J92" s="2"/>
      <c r="K92" s="3"/>
      <c r="L92" s="2"/>
      <c r="M92" s="1"/>
      <c r="N92" s="1"/>
      <c r="O92" s="1"/>
      <c r="P92" s="1"/>
      <c r="Q92" s="1"/>
      <c r="R92" s="1"/>
      <c r="S92" s="1"/>
      <c r="T92" s="1"/>
      <c r="U92" s="1"/>
      <c r="V92" s="1"/>
      <c r="W92" s="1"/>
      <c r="X92" s="1"/>
      <c r="Y92" s="1"/>
      <c r="Z92" s="1"/>
    </row>
    <row r="93" ht="15.75" customHeight="1">
      <c r="A93" s="1"/>
      <c r="B93" s="1"/>
      <c r="C93" s="1"/>
      <c r="D93" s="1"/>
      <c r="E93" s="1"/>
      <c r="F93" s="1"/>
      <c r="G93" s="1"/>
      <c r="H93" s="1"/>
      <c r="I93" s="2"/>
      <c r="J93" s="2"/>
      <c r="K93" s="3"/>
      <c r="L93" s="2"/>
      <c r="M93" s="1"/>
      <c r="N93" s="1"/>
      <c r="O93" s="1"/>
      <c r="P93" s="1"/>
      <c r="Q93" s="1"/>
      <c r="R93" s="1"/>
      <c r="S93" s="1"/>
      <c r="T93" s="1"/>
      <c r="U93" s="1"/>
      <c r="V93" s="1"/>
      <c r="W93" s="1"/>
      <c r="X93" s="1"/>
      <c r="Y93" s="1"/>
      <c r="Z93" s="1"/>
    </row>
    <row r="94" ht="15.75" customHeight="1">
      <c r="A94" s="1"/>
      <c r="B94" s="1"/>
      <c r="C94" s="1"/>
      <c r="D94" s="1"/>
      <c r="E94" s="1"/>
      <c r="F94" s="1"/>
      <c r="G94" s="1"/>
      <c r="H94" s="1"/>
      <c r="I94" s="2"/>
      <c r="J94" s="2"/>
      <c r="K94" s="3"/>
      <c r="L94" s="2"/>
      <c r="M94" s="1"/>
      <c r="N94" s="1"/>
      <c r="O94" s="1"/>
      <c r="P94" s="1"/>
      <c r="Q94" s="1"/>
      <c r="R94" s="1"/>
      <c r="S94" s="1"/>
      <c r="T94" s="1"/>
      <c r="U94" s="1"/>
      <c r="V94" s="1"/>
      <c r="W94" s="1"/>
      <c r="X94" s="1"/>
      <c r="Y94" s="1"/>
      <c r="Z94" s="1"/>
    </row>
    <row r="95" ht="15.75" customHeight="1">
      <c r="A95" s="1"/>
      <c r="B95" s="1"/>
      <c r="C95" s="1"/>
      <c r="D95" s="1"/>
      <c r="E95" s="1"/>
      <c r="F95" s="1"/>
      <c r="G95" s="1"/>
      <c r="H95" s="1"/>
      <c r="I95" s="2"/>
      <c r="J95" s="2"/>
      <c r="K95" s="3"/>
      <c r="L95" s="2"/>
      <c r="M95" s="1"/>
      <c r="N95" s="1"/>
      <c r="O95" s="1"/>
      <c r="P95" s="1"/>
      <c r="Q95" s="1"/>
      <c r="R95" s="1"/>
      <c r="S95" s="1"/>
      <c r="T95" s="1"/>
      <c r="U95" s="1"/>
      <c r="V95" s="1"/>
      <c r="W95" s="1"/>
      <c r="X95" s="1"/>
      <c r="Y95" s="1"/>
      <c r="Z95" s="1"/>
    </row>
    <row r="96" ht="15.75" customHeight="1">
      <c r="A96" s="1"/>
      <c r="B96" s="1"/>
      <c r="C96" s="1"/>
      <c r="D96" s="1"/>
      <c r="E96" s="1"/>
      <c r="F96" s="1"/>
      <c r="G96" s="1"/>
      <c r="H96" s="1"/>
      <c r="I96" s="2"/>
      <c r="J96" s="2"/>
      <c r="K96" s="3"/>
      <c r="L96" s="2"/>
      <c r="M96" s="1"/>
      <c r="N96" s="1"/>
      <c r="O96" s="1"/>
      <c r="P96" s="1"/>
      <c r="Q96" s="1"/>
      <c r="R96" s="1"/>
      <c r="S96" s="1"/>
      <c r="T96" s="1"/>
      <c r="U96" s="1"/>
      <c r="V96" s="1"/>
      <c r="W96" s="1"/>
      <c r="X96" s="1"/>
      <c r="Y96" s="1"/>
      <c r="Z96" s="1"/>
    </row>
    <row r="97" ht="15.75" customHeight="1">
      <c r="A97" s="1"/>
      <c r="B97" s="1"/>
      <c r="C97" s="1"/>
      <c r="D97" s="1"/>
      <c r="E97" s="1"/>
      <c r="F97" s="1"/>
      <c r="G97" s="1"/>
      <c r="H97" s="1"/>
      <c r="I97" s="2"/>
      <c r="J97" s="2"/>
      <c r="K97" s="3"/>
      <c r="L97" s="2"/>
      <c r="M97" s="1"/>
      <c r="N97" s="1"/>
      <c r="O97" s="1"/>
      <c r="P97" s="1"/>
      <c r="Q97" s="1"/>
      <c r="R97" s="1"/>
      <c r="S97" s="1"/>
      <c r="T97" s="1"/>
      <c r="U97" s="1"/>
      <c r="V97" s="1"/>
      <c r="W97" s="1"/>
      <c r="X97" s="1"/>
      <c r="Y97" s="1"/>
      <c r="Z97" s="1"/>
    </row>
    <row r="98" ht="15.75" customHeight="1">
      <c r="A98" s="1"/>
      <c r="B98" s="1"/>
      <c r="C98" s="1"/>
      <c r="D98" s="1"/>
      <c r="E98" s="1"/>
      <c r="F98" s="1"/>
      <c r="G98" s="1"/>
      <c r="H98" s="1"/>
      <c r="I98" s="2"/>
      <c r="J98" s="2"/>
      <c r="K98" s="3"/>
      <c r="L98" s="2"/>
      <c r="M98" s="1"/>
      <c r="N98" s="1"/>
      <c r="O98" s="1"/>
      <c r="P98" s="1"/>
      <c r="Q98" s="1"/>
      <c r="R98" s="1"/>
      <c r="S98" s="1"/>
      <c r="T98" s="1"/>
      <c r="U98" s="1"/>
      <c r="V98" s="1"/>
      <c r="W98" s="1"/>
      <c r="X98" s="1"/>
      <c r="Y98" s="1"/>
      <c r="Z98" s="1"/>
    </row>
    <row r="99" ht="15.75" customHeight="1">
      <c r="A99" s="1"/>
      <c r="B99" s="1"/>
      <c r="C99" s="1"/>
      <c r="D99" s="1"/>
      <c r="E99" s="1"/>
      <c r="F99" s="1"/>
      <c r="G99" s="1"/>
      <c r="H99" s="1"/>
      <c r="I99" s="2"/>
      <c r="J99" s="2"/>
      <c r="K99" s="3"/>
      <c r="L99" s="2"/>
      <c r="M99" s="1"/>
      <c r="N99" s="1"/>
      <c r="O99" s="1"/>
      <c r="P99" s="1"/>
      <c r="Q99" s="1"/>
      <c r="R99" s="1"/>
      <c r="S99" s="1"/>
      <c r="T99" s="1"/>
      <c r="U99" s="1"/>
      <c r="V99" s="1"/>
      <c r="W99" s="1"/>
      <c r="X99" s="1"/>
      <c r="Y99" s="1"/>
      <c r="Z99" s="1"/>
    </row>
    <row r="100" ht="15.75" customHeight="1">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conditionalFormatting sqref="L6:L9 L11:L27">
    <cfRule type="colorScale" priority="1">
      <colorScale>
        <cfvo type="min"/>
        <cfvo type="max"/>
        <color rgb="FF57BB8A"/>
        <color rgb="FFFFFFFF"/>
      </colorScale>
    </cfRule>
  </conditionalFormatting>
  <conditionalFormatting sqref="L12:L19">
    <cfRule type="colorScale" priority="2">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dataValidations>
    <dataValidation type="list" allowBlank="1" showErrorMessage="1" sqref="L6:L27">
      <formula1>$L$33:$L$36</formula1>
    </dataValidation>
    <dataValidation type="list" allowBlank="1" showErrorMessage="1" sqref="K6:K27">
      <formula1>$K$33:$K$35</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4" width="10.63"/>
    <col customWidth="1" min="5" max="5" width="37.5"/>
    <col customWidth="1" min="6" max="15" width="10.63"/>
    <col customWidth="1" min="16" max="16" width="2.63"/>
    <col customWidth="1" min="17" max="26" width="9.38"/>
  </cols>
  <sheetData>
    <row r="2" ht="15.0" hidden="1" customHeight="1"/>
    <row r="3" ht="15.0" hidden="1" customHeight="1"/>
    <row r="4" hidden="1">
      <c r="C4" s="26"/>
      <c r="D4" s="26"/>
      <c r="E4" s="26"/>
      <c r="F4" s="27"/>
    </row>
    <row r="5" hidden="1">
      <c r="C5" s="26"/>
      <c r="D5" s="26"/>
      <c r="E5" s="26"/>
      <c r="F5" s="27"/>
    </row>
    <row r="6" ht="39.75" customHeight="1">
      <c r="B6" s="28" t="s">
        <v>66</v>
      </c>
      <c r="C6" s="5"/>
      <c r="D6" s="5"/>
      <c r="E6" s="5"/>
      <c r="F6" s="5"/>
      <c r="G6" s="5"/>
      <c r="H6" s="5"/>
      <c r="I6" s="5"/>
      <c r="J6" s="5"/>
      <c r="K6" s="5"/>
      <c r="L6" s="5"/>
      <c r="M6" s="5"/>
      <c r="N6" s="5"/>
      <c r="O6" s="5"/>
      <c r="P6" s="6"/>
    </row>
    <row r="7" ht="9.75" customHeight="1">
      <c r="A7" s="29"/>
      <c r="B7" s="29"/>
      <c r="C7" s="30"/>
      <c r="D7" s="30"/>
      <c r="E7" s="30"/>
      <c r="F7" s="30"/>
      <c r="G7" s="30"/>
      <c r="H7" s="30"/>
      <c r="I7" s="30"/>
      <c r="J7" s="30"/>
      <c r="K7" s="30"/>
      <c r="L7" s="30"/>
      <c r="M7" s="30"/>
      <c r="N7" s="30"/>
      <c r="O7" s="30"/>
      <c r="P7" s="29"/>
      <c r="Q7" s="29"/>
      <c r="R7" s="29"/>
      <c r="S7" s="29"/>
      <c r="T7" s="29"/>
      <c r="U7" s="29"/>
      <c r="V7" s="29"/>
      <c r="W7" s="29"/>
      <c r="X7" s="29"/>
      <c r="Y7" s="29"/>
      <c r="Z7" s="29"/>
    </row>
    <row r="8" ht="9.75" customHeight="1">
      <c r="B8" s="31"/>
      <c r="C8" s="32"/>
      <c r="D8" s="32"/>
      <c r="E8" s="32"/>
      <c r="F8" s="33"/>
      <c r="G8" s="34"/>
      <c r="H8" s="34"/>
      <c r="I8" s="34"/>
      <c r="J8" s="34"/>
      <c r="K8" s="34"/>
      <c r="L8" s="34"/>
      <c r="M8" s="34"/>
      <c r="N8" s="34"/>
      <c r="O8" s="34"/>
      <c r="P8" s="35"/>
      <c r="Q8" s="29"/>
    </row>
    <row r="9" ht="30.0" customHeight="1">
      <c r="B9" s="36"/>
      <c r="C9" s="37" t="s">
        <v>1</v>
      </c>
      <c r="D9" s="38"/>
      <c r="E9" s="39" t="s">
        <v>67</v>
      </c>
      <c r="F9" s="6"/>
      <c r="G9" s="38"/>
      <c r="H9" s="39" t="s">
        <v>11</v>
      </c>
      <c r="I9" s="6"/>
      <c r="J9" s="40"/>
      <c r="K9" s="40"/>
      <c r="L9" s="40"/>
      <c r="M9" s="40"/>
      <c r="N9" s="40"/>
      <c r="O9" s="40"/>
      <c r="P9" s="41"/>
      <c r="Q9" s="29"/>
    </row>
    <row r="10" ht="30.0" customHeight="1">
      <c r="B10" s="36"/>
      <c r="C10" s="42" t="s">
        <v>15</v>
      </c>
      <c r="D10" s="43"/>
      <c r="E10" s="44" t="str">
        <f>VLOOKUP(C10,'Formato descripción HU'!B6:O23,5,0)</f>
        <v>Jefe de Ticketera y Staff</v>
      </c>
      <c r="F10" s="6"/>
      <c r="G10" s="45"/>
      <c r="H10" s="44" t="str">
        <f>VLOOKUP(C10,'Formato descripción HU'!B6:O23,11,0)</f>
        <v>Terminado</v>
      </c>
      <c r="I10" s="6"/>
      <c r="J10" s="45"/>
      <c r="K10" s="40"/>
      <c r="L10" s="40"/>
      <c r="M10" s="40"/>
      <c r="N10" s="40"/>
      <c r="O10" s="40"/>
      <c r="P10" s="41"/>
      <c r="Q10" s="29"/>
    </row>
    <row r="11" ht="9.75" customHeight="1">
      <c r="A11" s="29"/>
      <c r="B11" s="36"/>
      <c r="C11" s="46"/>
      <c r="D11" s="43"/>
      <c r="E11" s="47"/>
      <c r="F11" s="47"/>
      <c r="G11" s="45"/>
      <c r="H11" s="47"/>
      <c r="I11" s="47"/>
      <c r="J11" s="45"/>
      <c r="K11" s="47"/>
      <c r="L11" s="47"/>
      <c r="M11" s="40"/>
      <c r="N11" s="47"/>
      <c r="O11" s="47"/>
      <c r="P11" s="41"/>
      <c r="Q11" s="29"/>
      <c r="R11" s="29"/>
      <c r="S11" s="29"/>
      <c r="T11" s="29"/>
      <c r="U11" s="29"/>
      <c r="V11" s="29"/>
      <c r="W11" s="29"/>
      <c r="X11" s="29"/>
      <c r="Y11" s="29"/>
      <c r="Z11" s="29"/>
    </row>
    <row r="12" ht="30.0" customHeight="1">
      <c r="A12" s="29"/>
      <c r="B12" s="36"/>
      <c r="C12" s="37" t="s">
        <v>68</v>
      </c>
      <c r="D12" s="43"/>
      <c r="E12" s="39" t="s">
        <v>10</v>
      </c>
      <c r="F12" s="6"/>
      <c r="G12" s="45"/>
      <c r="H12" s="39" t="s">
        <v>69</v>
      </c>
      <c r="I12" s="6"/>
      <c r="J12" s="45"/>
      <c r="K12" s="47"/>
      <c r="L12" s="47"/>
      <c r="M12" s="40"/>
      <c r="N12" s="47"/>
      <c r="O12" s="47"/>
      <c r="P12" s="41"/>
      <c r="Q12" s="29"/>
      <c r="R12" s="29"/>
      <c r="S12" s="29"/>
      <c r="T12" s="29"/>
      <c r="U12" s="29"/>
      <c r="V12" s="29"/>
      <c r="W12" s="29"/>
      <c r="X12" s="29"/>
      <c r="Y12" s="29"/>
      <c r="Z12" s="29"/>
    </row>
    <row r="13" ht="30.0" customHeight="1">
      <c r="A13" s="29"/>
      <c r="B13" s="36"/>
      <c r="C13" s="48" t="str">
        <f>VLOOKUP('Historia de Usuario'!C10,'Formato descripción HU'!B6:O23,8,0)</f>
        <v>6 horas</v>
      </c>
      <c r="D13" s="43"/>
      <c r="E13" s="44" t="str">
        <f>VLOOKUP(C10,'Formato descripción HU'!B6:O23,10,0)</f>
        <v>Alta</v>
      </c>
      <c r="F13" s="6"/>
      <c r="G13" s="45"/>
      <c r="H13" s="44" t="str">
        <f>VLOOKUP(C10,'Formato descripción HU'!B6:O23,7,0)</f>
        <v>David Moran</v>
      </c>
      <c r="I13" s="6"/>
      <c r="J13" s="45"/>
      <c r="K13" s="47"/>
      <c r="L13" s="47"/>
      <c r="M13" s="40"/>
      <c r="N13" s="47"/>
      <c r="O13" s="47"/>
      <c r="P13" s="41"/>
      <c r="Q13" s="29"/>
      <c r="R13" s="29"/>
      <c r="S13" s="29"/>
      <c r="T13" s="29"/>
      <c r="U13" s="29"/>
      <c r="V13" s="29"/>
      <c r="W13" s="29"/>
      <c r="X13" s="29"/>
      <c r="Y13" s="29"/>
      <c r="Z13" s="29"/>
    </row>
    <row r="14" ht="9.75" customHeight="1">
      <c r="A14" s="29"/>
      <c r="B14" s="36"/>
      <c r="C14" s="40"/>
      <c r="D14" s="43"/>
      <c r="E14" s="40"/>
      <c r="F14" s="40"/>
      <c r="G14" s="45"/>
      <c r="H14" s="45"/>
      <c r="I14" s="40"/>
      <c r="J14" s="40"/>
      <c r="K14" s="40"/>
      <c r="L14" s="40"/>
      <c r="M14" s="40"/>
      <c r="N14" s="40"/>
      <c r="O14" s="40"/>
      <c r="P14" s="41"/>
      <c r="Q14" s="29"/>
      <c r="R14" s="29"/>
      <c r="S14" s="29"/>
      <c r="T14" s="29"/>
      <c r="U14" s="29"/>
      <c r="V14" s="29"/>
      <c r="W14" s="29"/>
      <c r="X14" s="29"/>
      <c r="Y14" s="29"/>
      <c r="Z14" s="29"/>
    </row>
    <row r="15" ht="19.5" customHeight="1">
      <c r="A15" s="29"/>
      <c r="B15" s="36"/>
      <c r="C15" s="49" t="s">
        <v>70</v>
      </c>
      <c r="D15" s="50" t="str">
        <f>VLOOKUP(C10,'Formato descripción HU'!B6:O23,3,0)</f>
        <v>Se necesita una opción dentro del sistema que permita buscar y visualizar los gastos según parámetros específicos, como rango de fechas, objeto de gasto o número de comprobante/factura.</v>
      </c>
      <c r="E15" s="51"/>
      <c r="F15" s="52"/>
      <c r="G15" s="49" t="s">
        <v>71</v>
      </c>
      <c r="H15" s="50" t="str">
        <f>VLOOKUP(C10,'Formato descripción HU'!B6:O23,4,0)</f>
        <v>Para facilitar la consulta rápida y precisa de los gastos realizados, mejorando el control financiero y la toma de decisiones.</v>
      </c>
      <c r="I15" s="53"/>
      <c r="J15" s="51"/>
      <c r="K15" s="52"/>
      <c r="L15" s="49" t="s">
        <v>72</v>
      </c>
      <c r="M15" s="54" t="str">
        <f>VLOOKUP(C10,'Formato descripción HU'!B6:O23,6,0)</f>
        <v>El usuario accede al sistema, selecciona “Consultar Gastos”, ingresa los parámetros de búsqueda y ejecuta la consulta. El sistema valida los datos, busca coincidencias y muestra los gastos encontrados o mensajes de alerta si no existen resultados válidos.</v>
      </c>
      <c r="N15" s="53"/>
      <c r="O15" s="51"/>
      <c r="P15" s="41"/>
      <c r="Q15" s="29"/>
      <c r="R15" s="29"/>
      <c r="S15" s="29"/>
      <c r="T15" s="29"/>
      <c r="U15" s="29"/>
      <c r="V15" s="29"/>
      <c r="W15" s="29"/>
      <c r="X15" s="29"/>
      <c r="Y15" s="29"/>
      <c r="Z15" s="29"/>
    </row>
    <row r="16" ht="19.5" customHeight="1">
      <c r="A16" s="29"/>
      <c r="B16" s="36"/>
      <c r="C16" s="55"/>
      <c r="D16" s="56"/>
      <c r="E16" s="57"/>
      <c r="F16" s="52"/>
      <c r="G16" s="55"/>
      <c r="H16" s="56"/>
      <c r="J16" s="57"/>
      <c r="K16" s="52"/>
      <c r="L16" s="55"/>
      <c r="M16" s="56"/>
      <c r="O16" s="57"/>
      <c r="P16" s="41"/>
      <c r="Q16" s="29"/>
      <c r="R16" s="29"/>
      <c r="S16" s="29"/>
      <c r="T16" s="29"/>
      <c r="U16" s="29"/>
      <c r="V16" s="29"/>
      <c r="W16" s="29"/>
      <c r="X16" s="29"/>
      <c r="Y16" s="29"/>
      <c r="Z16" s="29"/>
    </row>
    <row r="17" ht="42.0" customHeight="1">
      <c r="A17" s="29"/>
      <c r="B17" s="36"/>
      <c r="C17" s="58"/>
      <c r="D17" s="59"/>
      <c r="E17" s="60"/>
      <c r="F17" s="52"/>
      <c r="G17" s="58"/>
      <c r="H17" s="59"/>
      <c r="I17" s="61"/>
      <c r="J17" s="60"/>
      <c r="K17" s="52"/>
      <c r="L17" s="58"/>
      <c r="M17" s="59"/>
      <c r="N17" s="61"/>
      <c r="O17" s="60"/>
      <c r="P17" s="41"/>
      <c r="Q17" s="29"/>
      <c r="R17" s="29"/>
      <c r="S17" s="29"/>
      <c r="T17" s="29"/>
      <c r="U17" s="29"/>
      <c r="V17" s="29"/>
      <c r="W17" s="29"/>
      <c r="X17" s="29"/>
      <c r="Y17" s="29"/>
      <c r="Z17" s="29"/>
    </row>
    <row r="18" ht="9.75" customHeight="1">
      <c r="A18" s="29"/>
      <c r="B18" s="36"/>
      <c r="C18" s="40"/>
      <c r="D18" s="40"/>
      <c r="E18" s="40"/>
      <c r="F18" s="40"/>
      <c r="G18" s="45"/>
      <c r="H18" s="45"/>
      <c r="I18" s="45"/>
      <c r="J18" s="40"/>
      <c r="K18" s="40"/>
      <c r="L18" s="40"/>
      <c r="M18" s="40"/>
      <c r="N18" s="40"/>
      <c r="O18" s="40"/>
      <c r="P18" s="41"/>
      <c r="Q18" s="29"/>
      <c r="R18" s="29"/>
      <c r="S18" s="29"/>
      <c r="T18" s="29"/>
      <c r="U18" s="29"/>
      <c r="V18" s="29"/>
      <c r="W18" s="29"/>
      <c r="X18" s="29"/>
      <c r="Y18" s="29"/>
      <c r="Z18" s="29"/>
    </row>
    <row r="19" ht="19.5" customHeight="1">
      <c r="B19" s="36"/>
      <c r="C19" s="62" t="s">
        <v>73</v>
      </c>
      <c r="D19" s="51"/>
      <c r="E19" s="63" t="str">
        <f>VLOOKUP(C10,'Formato descripción HU'!B6:O23,14,0)</f>
        <v>Consultar Gastos</v>
      </c>
      <c r="F19" s="64"/>
      <c r="G19" s="64"/>
      <c r="H19" s="64"/>
      <c r="I19" s="64"/>
      <c r="J19" s="64"/>
      <c r="K19" s="64"/>
      <c r="L19" s="64"/>
      <c r="M19" s="64"/>
      <c r="N19" s="64"/>
      <c r="O19" s="65"/>
      <c r="P19" s="41"/>
      <c r="Q19" s="29"/>
    </row>
    <row r="20" ht="19.5" customHeight="1">
      <c r="B20" s="36"/>
      <c r="C20" s="59"/>
      <c r="D20" s="60"/>
      <c r="E20" s="66"/>
      <c r="F20" s="67"/>
      <c r="G20" s="67"/>
      <c r="H20" s="67"/>
      <c r="I20" s="67"/>
      <c r="J20" s="67"/>
      <c r="K20" s="67"/>
      <c r="L20" s="67"/>
      <c r="M20" s="67"/>
      <c r="N20" s="67"/>
      <c r="O20" s="68"/>
      <c r="P20" s="41"/>
      <c r="Q20" s="29"/>
    </row>
    <row r="21" ht="9.75" customHeight="1">
      <c r="B21" s="36"/>
      <c r="C21" s="40"/>
      <c r="D21" s="40"/>
      <c r="E21" s="40"/>
      <c r="F21" s="40"/>
      <c r="G21" s="40"/>
      <c r="H21" s="40"/>
      <c r="I21" s="40"/>
      <c r="J21" s="40"/>
      <c r="K21" s="40"/>
      <c r="L21" s="40"/>
      <c r="M21" s="40"/>
      <c r="N21" s="40"/>
      <c r="O21" s="40"/>
      <c r="P21" s="41"/>
      <c r="Q21" s="29"/>
    </row>
    <row r="22" ht="19.5" customHeight="1">
      <c r="A22" s="29"/>
      <c r="B22" s="36"/>
      <c r="C22" s="69" t="s">
        <v>74</v>
      </c>
      <c r="D22" s="51"/>
      <c r="E22" s="70" t="str">
        <f>VLOOKUP(C10,'Formato descripción HU'!B6:O23,12,0)</f>
        <v>Se verifica ingresando distintos parámetros de búsqueda (fecha, objeto, número de comprobante) y comprobando que el sistema muestre solo los registros que cumplan los criterios. También se valida que los mensajes de alerta funcionen correctamente ante errores o datos inexistentes.</v>
      </c>
      <c r="F22" s="53"/>
      <c r="G22" s="53"/>
      <c r="H22" s="51"/>
      <c r="I22" s="40"/>
      <c r="J22" s="69" t="s">
        <v>13</v>
      </c>
      <c r="K22" s="51"/>
      <c r="L22" s="50" t="str">
        <f>VLOOKUP(C10,'Formato descripción HU'!B6:O23,13,0)</f>
        <v>Se debe definir al menos un parámetro de búsqueda para ejecutar la consulta. Si no se cumple, el sistema no realizará la búsqueda.</v>
      </c>
      <c r="M22" s="53"/>
      <c r="N22" s="53"/>
      <c r="O22" s="51"/>
      <c r="P22" s="41"/>
      <c r="Q22" s="29"/>
      <c r="R22" s="29"/>
      <c r="S22" s="29"/>
      <c r="T22" s="29"/>
      <c r="U22" s="29"/>
      <c r="V22" s="29"/>
      <c r="W22" s="29"/>
      <c r="X22" s="29"/>
      <c r="Y22" s="29"/>
      <c r="Z22" s="29"/>
    </row>
    <row r="23" ht="19.5" customHeight="1">
      <c r="A23" s="29"/>
      <c r="B23" s="36"/>
      <c r="C23" s="56"/>
      <c r="D23" s="57"/>
      <c r="E23" s="56"/>
      <c r="H23" s="57"/>
      <c r="I23" s="40"/>
      <c r="J23" s="56"/>
      <c r="K23" s="57"/>
      <c r="L23" s="56"/>
      <c r="O23" s="57"/>
      <c r="P23" s="41"/>
      <c r="Q23" s="29"/>
      <c r="R23" s="29"/>
      <c r="S23" s="29"/>
      <c r="T23" s="29"/>
      <c r="U23" s="29"/>
      <c r="V23" s="29"/>
      <c r="W23" s="29"/>
      <c r="X23" s="29"/>
      <c r="Y23" s="29"/>
      <c r="Z23" s="29"/>
    </row>
    <row r="24" ht="19.5" customHeight="1">
      <c r="A24" s="29"/>
      <c r="B24" s="36"/>
      <c r="C24" s="59"/>
      <c r="D24" s="60"/>
      <c r="E24" s="59"/>
      <c r="F24" s="61"/>
      <c r="G24" s="61"/>
      <c r="H24" s="60"/>
      <c r="I24" s="40"/>
      <c r="J24" s="59"/>
      <c r="K24" s="60"/>
      <c r="L24" s="59"/>
      <c r="M24" s="61"/>
      <c r="N24" s="61"/>
      <c r="O24" s="60"/>
      <c r="P24" s="41"/>
      <c r="Q24" s="29"/>
      <c r="R24" s="29"/>
      <c r="S24" s="29"/>
      <c r="T24" s="29"/>
      <c r="U24" s="29"/>
      <c r="V24" s="29"/>
      <c r="W24" s="29"/>
      <c r="X24" s="29"/>
      <c r="Y24" s="29"/>
      <c r="Z24" s="29"/>
    </row>
    <row r="25" ht="9.75" customHeight="1">
      <c r="A25" s="29"/>
      <c r="B25" s="71"/>
      <c r="C25" s="72"/>
      <c r="D25" s="72"/>
      <c r="E25" s="72"/>
      <c r="F25" s="72"/>
      <c r="G25" s="72"/>
      <c r="H25" s="72"/>
      <c r="I25" s="72"/>
      <c r="J25" s="72"/>
      <c r="K25" s="72"/>
      <c r="L25" s="72"/>
      <c r="M25" s="72"/>
      <c r="N25" s="72"/>
      <c r="O25" s="72"/>
      <c r="P25" s="73"/>
      <c r="Q25" s="29"/>
      <c r="R25" s="29"/>
      <c r="S25" s="29"/>
      <c r="T25" s="29"/>
      <c r="U25" s="29"/>
      <c r="V25" s="29"/>
      <c r="W25" s="29"/>
      <c r="X25" s="29"/>
      <c r="Y25" s="29"/>
      <c r="Z25" s="29"/>
    </row>
    <row r="26" ht="19.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9.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9.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9.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9.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9.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9.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9.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9.5" customHeight="1">
      <c r="C34" s="29"/>
      <c r="D34" s="29"/>
      <c r="E34" s="29"/>
      <c r="F34" s="29"/>
      <c r="G34" s="29"/>
      <c r="H34" s="29"/>
      <c r="I34" s="29"/>
      <c r="J34" s="29"/>
      <c r="K34" s="29"/>
      <c r="L34" s="29"/>
      <c r="M34" s="29"/>
      <c r="N34" s="29"/>
      <c r="O34" s="29"/>
      <c r="P34" s="29"/>
    </row>
    <row r="35" ht="19.5" customHeight="1">
      <c r="C35" s="29"/>
      <c r="D35" s="29"/>
      <c r="E35" s="29"/>
      <c r="F35" s="29"/>
      <c r="G35" s="29"/>
      <c r="H35" s="29"/>
      <c r="I35" s="29"/>
      <c r="J35" s="29"/>
      <c r="K35" s="29"/>
      <c r="L35" s="29"/>
      <c r="M35" s="29"/>
      <c r="N35" s="29"/>
      <c r="O35" s="29"/>
      <c r="P35" s="29"/>
    </row>
    <row r="36" ht="19.5" customHeight="1">
      <c r="C36" s="29"/>
      <c r="D36" s="29"/>
      <c r="E36" s="29"/>
      <c r="F36" s="29"/>
      <c r="G36" s="29"/>
      <c r="H36" s="29"/>
      <c r="I36" s="29"/>
      <c r="J36" s="29"/>
      <c r="K36" s="29"/>
      <c r="L36" s="29"/>
      <c r="M36" s="29"/>
      <c r="N36" s="29"/>
      <c r="O36" s="29"/>
      <c r="P36" s="29"/>
    </row>
    <row r="37" ht="19.5" customHeight="1">
      <c r="C37" s="29"/>
      <c r="D37" s="29"/>
      <c r="E37" s="29"/>
      <c r="F37" s="29"/>
      <c r="G37" s="29"/>
      <c r="H37" s="29"/>
      <c r="I37" s="29"/>
      <c r="J37" s="29"/>
      <c r="K37" s="29"/>
      <c r="L37" s="29"/>
      <c r="M37" s="29"/>
      <c r="N37" s="29"/>
      <c r="O37" s="29"/>
      <c r="P37" s="29"/>
    </row>
    <row r="38" ht="19.5" customHeight="1">
      <c r="C38" s="29"/>
      <c r="D38" s="29"/>
      <c r="E38" s="29"/>
      <c r="F38" s="29"/>
      <c r="G38" s="29"/>
      <c r="H38" s="29"/>
      <c r="I38" s="29"/>
      <c r="J38" s="29"/>
      <c r="K38" s="29"/>
      <c r="L38" s="29"/>
      <c r="M38" s="29"/>
      <c r="N38" s="29"/>
      <c r="O38" s="29"/>
      <c r="P38" s="29"/>
    </row>
    <row r="39" ht="19.5" customHeight="1">
      <c r="C39" s="29"/>
      <c r="D39" s="29"/>
      <c r="E39" s="29"/>
      <c r="F39" s="29"/>
      <c r="G39" s="29"/>
      <c r="H39" s="29"/>
      <c r="I39" s="29"/>
      <c r="J39" s="29"/>
      <c r="K39" s="29"/>
      <c r="L39" s="29"/>
      <c r="M39" s="29"/>
      <c r="N39" s="29"/>
      <c r="O39" s="29"/>
      <c r="P39" s="29"/>
    </row>
    <row r="40" ht="19.5" customHeight="1">
      <c r="F40" s="29"/>
      <c r="G40" s="29"/>
      <c r="H40" s="29"/>
      <c r="I40" s="29"/>
      <c r="J40" s="29"/>
      <c r="K40" s="29"/>
      <c r="L40" s="29"/>
      <c r="M40" s="29"/>
      <c r="N40" s="29"/>
      <c r="O40" s="29"/>
      <c r="P40" s="29"/>
    </row>
    <row r="41" ht="19.5" customHeight="1">
      <c r="C41" s="29"/>
      <c r="D41" s="29"/>
      <c r="E41" s="29"/>
      <c r="F41" s="29"/>
      <c r="G41" s="29"/>
      <c r="H41" s="29"/>
      <c r="I41" s="29"/>
      <c r="J41" s="29"/>
      <c r="K41" s="29"/>
      <c r="L41" s="29"/>
      <c r="M41" s="29"/>
      <c r="N41" s="29"/>
      <c r="O41" s="29"/>
      <c r="P41" s="29"/>
    </row>
    <row r="42" ht="19.5" customHeight="1">
      <c r="C42" s="29"/>
      <c r="D42" s="29"/>
      <c r="E42" s="29"/>
      <c r="F42" s="29"/>
      <c r="G42" s="29"/>
      <c r="H42" s="29"/>
      <c r="I42" s="29"/>
      <c r="J42" s="29"/>
      <c r="K42" s="29"/>
      <c r="L42" s="29"/>
      <c r="M42" s="29"/>
      <c r="N42" s="29"/>
      <c r="O42" s="29"/>
      <c r="P42" s="29"/>
    </row>
    <row r="43" ht="19.5" customHeight="1">
      <c r="C43" s="29"/>
      <c r="D43" s="29"/>
      <c r="E43" s="29"/>
      <c r="F43" s="29"/>
      <c r="G43" s="29"/>
      <c r="H43" s="29"/>
      <c r="I43" s="29"/>
      <c r="J43" s="29"/>
      <c r="K43" s="29"/>
      <c r="L43" s="29"/>
      <c r="M43" s="29"/>
      <c r="N43" s="29"/>
      <c r="O43" s="29"/>
      <c r="P43" s="29"/>
    </row>
    <row r="44" ht="19.5" customHeight="1">
      <c r="C44" s="29"/>
      <c r="D44" s="29"/>
      <c r="E44" s="29"/>
      <c r="F44" s="29"/>
      <c r="G44" s="29"/>
      <c r="H44" s="29"/>
      <c r="I44" s="29"/>
      <c r="J44" s="29"/>
      <c r="K44" s="29"/>
      <c r="L44" s="29"/>
      <c r="M44" s="29"/>
      <c r="N44" s="29"/>
      <c r="O44" s="29"/>
      <c r="P44" s="29"/>
    </row>
    <row r="45" ht="19.5" customHeight="1">
      <c r="C45" s="29"/>
      <c r="D45" s="29"/>
      <c r="E45" s="29"/>
      <c r="F45" s="29"/>
      <c r="G45" s="29"/>
      <c r="H45" s="29"/>
      <c r="I45" s="29"/>
      <c r="J45" s="29"/>
      <c r="K45" s="29"/>
      <c r="L45" s="29"/>
      <c r="M45" s="29"/>
      <c r="N45" s="29"/>
      <c r="O45" s="29"/>
      <c r="P45" s="29"/>
    </row>
    <row r="46" ht="19.5" customHeight="1">
      <c r="C46" s="29"/>
      <c r="D46" s="29"/>
      <c r="E46" s="29"/>
      <c r="F46" s="29"/>
      <c r="G46" s="29"/>
      <c r="H46" s="29"/>
      <c r="I46" s="29"/>
      <c r="J46" s="29"/>
      <c r="K46" s="29"/>
      <c r="L46" s="29"/>
      <c r="M46" s="29"/>
      <c r="N46" s="29"/>
      <c r="O46" s="29"/>
      <c r="P46" s="29"/>
    </row>
    <row r="47" ht="19.5" customHeight="1">
      <c r="C47" s="29"/>
      <c r="D47" s="29"/>
      <c r="E47" s="29"/>
      <c r="F47" s="29"/>
      <c r="G47" s="29"/>
      <c r="H47" s="29"/>
      <c r="I47" s="29"/>
      <c r="J47" s="29"/>
      <c r="K47" s="29"/>
      <c r="L47" s="29"/>
      <c r="M47" s="29"/>
      <c r="N47" s="29"/>
      <c r="O47" s="29"/>
      <c r="P47" s="29"/>
    </row>
    <row r="48" ht="19.5" customHeight="1">
      <c r="C48" s="29"/>
      <c r="D48" s="29"/>
      <c r="E48" s="29"/>
      <c r="F48" s="29"/>
      <c r="G48" s="29"/>
      <c r="H48" s="29"/>
      <c r="I48" s="29"/>
      <c r="J48" s="29"/>
      <c r="K48" s="29"/>
      <c r="L48" s="29"/>
      <c r="M48" s="29"/>
      <c r="N48" s="29"/>
      <c r="O48" s="29"/>
      <c r="P48" s="29"/>
    </row>
    <row r="49" ht="19.5" customHeight="1">
      <c r="C49" s="29"/>
      <c r="D49" s="29"/>
      <c r="E49" s="29"/>
      <c r="F49" s="29"/>
      <c r="G49" s="29"/>
      <c r="H49" s="29"/>
      <c r="I49" s="29"/>
      <c r="J49" s="29"/>
      <c r="K49" s="29"/>
      <c r="L49" s="29"/>
      <c r="M49" s="29"/>
      <c r="N49" s="29"/>
      <c r="O49" s="29"/>
      <c r="P49" s="29"/>
    </row>
    <row r="50" ht="19.5" customHeight="1">
      <c r="C50" s="29"/>
      <c r="D50" s="29"/>
      <c r="E50" s="29"/>
      <c r="F50" s="29"/>
      <c r="G50" s="29"/>
      <c r="H50" s="29"/>
      <c r="I50" s="29"/>
      <c r="J50" s="29"/>
      <c r="K50" s="29"/>
      <c r="L50" s="29"/>
      <c r="M50" s="29"/>
      <c r="N50" s="29"/>
      <c r="O50" s="29"/>
      <c r="P50" s="29"/>
    </row>
    <row r="51" ht="19.5" customHeight="1">
      <c r="C51" s="29"/>
      <c r="D51" s="29"/>
      <c r="E51" s="29"/>
      <c r="F51" s="29"/>
      <c r="G51" s="29"/>
      <c r="H51" s="29"/>
      <c r="I51" s="29"/>
      <c r="J51" s="29"/>
      <c r="K51" s="29"/>
      <c r="L51" s="29"/>
      <c r="M51" s="29"/>
      <c r="N51" s="29"/>
      <c r="O51" s="29"/>
      <c r="P51" s="29"/>
    </row>
    <row r="52" ht="19.5" customHeight="1">
      <c r="C52" s="29"/>
      <c r="D52" s="29"/>
      <c r="E52" s="29"/>
      <c r="F52" s="29"/>
      <c r="G52" s="29"/>
      <c r="H52" s="29"/>
      <c r="I52" s="29"/>
      <c r="J52" s="29"/>
      <c r="K52" s="29"/>
      <c r="L52" s="29"/>
      <c r="M52" s="29"/>
      <c r="N52" s="29"/>
      <c r="O52" s="29"/>
      <c r="P52" s="29"/>
    </row>
    <row r="53" ht="19.5" customHeight="1">
      <c r="C53" s="29"/>
      <c r="D53" s="29"/>
      <c r="E53" s="29"/>
      <c r="F53" s="29"/>
      <c r="G53" s="29"/>
      <c r="H53" s="29"/>
      <c r="I53" s="29"/>
      <c r="J53" s="29"/>
      <c r="K53" s="29"/>
      <c r="L53" s="29"/>
      <c r="M53" s="29"/>
      <c r="N53" s="29"/>
      <c r="O53" s="29"/>
      <c r="P53" s="29"/>
    </row>
    <row r="54" ht="19.5" customHeight="1">
      <c r="C54" s="29"/>
      <c r="D54" s="29"/>
      <c r="E54" s="29"/>
      <c r="F54" s="29"/>
      <c r="G54" s="29"/>
      <c r="H54" s="29"/>
      <c r="I54" s="29"/>
      <c r="J54" s="29"/>
      <c r="K54" s="29"/>
      <c r="L54" s="29"/>
      <c r="M54" s="29"/>
      <c r="N54" s="29"/>
      <c r="O54" s="29"/>
    </row>
    <row r="55" ht="15.75" customHeight="1">
      <c r="C55" s="29"/>
      <c r="D55" s="29"/>
      <c r="E55" s="29"/>
      <c r="F55" s="29"/>
      <c r="G55" s="29"/>
      <c r="H55" s="29"/>
      <c r="I55" s="29"/>
      <c r="J55" s="29"/>
      <c r="K55" s="29"/>
      <c r="L55" s="29"/>
      <c r="M55" s="29"/>
      <c r="N55" s="29"/>
      <c r="O55" s="29"/>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